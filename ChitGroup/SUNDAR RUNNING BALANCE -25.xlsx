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FFICE\BK CHIT FUND\Backend\ChitGroup\"/>
    </mc:Choice>
  </mc:AlternateContent>
  <xr:revisionPtr revIDLastSave="0" documentId="13_ncr:1_{C9D72F24-D0EF-42BC-8DAB-FE97FD5E704F}" xr6:coauthVersionLast="47" xr6:coauthVersionMax="47" xr10:uidLastSave="{00000000-0000-0000-0000-000000000000}"/>
  <bookViews>
    <workbookView xWindow="-108" yWindow="-108" windowWidth="23256" windowHeight="12456" xr2:uid="{07125BEA-9142-40B7-81B0-73E491DB21E8}"/>
  </bookViews>
  <sheets>
    <sheet name="PAID MONTHLY" sheetId="3" r:id="rId1"/>
    <sheet name="NON PAID MONTHLY" sheetId="4" r:id="rId2"/>
    <sheet name="Sheet2" sheetId="8" r:id="rId3"/>
    <sheet name="NON PAID DAILY" sheetId="5" r:id="rId4"/>
    <sheet name="PAID DAILY" sheetId="6" r:id="rId5"/>
  </sheets>
  <definedNames>
    <definedName name="_xlnm._FilterDatabase" localSheetId="2" hidden="1">Sheet2!$A$1:$J$147</definedName>
    <definedName name="_xlnm.Print_Area" localSheetId="3">'NON PAID DAILY'!$A$1:$L$61</definedName>
    <definedName name="_xlnm.Print_Area" localSheetId="1">'NON PAID MONTHLY'!$A$39:$M$61</definedName>
    <definedName name="_xlnm.Print_Area" localSheetId="4">'PAID DAILY'!$A$26:$L$38</definedName>
    <definedName name="_xlnm.Print_Area" localSheetId="0">'PAID MONTHLY'!$A$1:$K$41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3" l="1"/>
  <c r="H106" i="3"/>
  <c r="H90" i="3"/>
  <c r="H77" i="3"/>
  <c r="H76" i="3"/>
  <c r="H61" i="3"/>
  <c r="I10" i="6"/>
  <c r="I20" i="5" l="1"/>
  <c r="H30" i="3" l="1"/>
  <c r="H29" i="3"/>
  <c r="H2" i="3" l="1"/>
  <c r="H61" i="5"/>
  <c r="G61" i="5"/>
  <c r="F61" i="5"/>
  <c r="I4" i="5" l="1"/>
  <c r="J46" i="4" l="1"/>
  <c r="J45" i="4"/>
  <c r="J43" i="4"/>
  <c r="H33" i="3" l="1"/>
  <c r="H31" i="3"/>
  <c r="H27" i="3"/>
  <c r="H20" i="3"/>
  <c r="I61" i="5" l="1"/>
  <c r="J59" i="4"/>
  <c r="G59" i="4"/>
  <c r="H59" i="4"/>
  <c r="I59" i="4"/>
  <c r="I38" i="6" l="1"/>
  <c r="H38" i="6"/>
  <c r="G38" i="6"/>
  <c r="F38" i="6"/>
  <c r="I23" i="6"/>
  <c r="H23" i="6"/>
  <c r="G23" i="6"/>
  <c r="F23" i="6"/>
  <c r="H22" i="5"/>
  <c r="G22" i="5"/>
  <c r="F22" i="5"/>
  <c r="I22" i="5"/>
  <c r="H28" i="3"/>
  <c r="H25" i="3"/>
</calcChain>
</file>

<file path=xl/sharedStrings.xml><?xml version="1.0" encoding="utf-8"?>
<sst xmlns="http://schemas.openxmlformats.org/spreadsheetml/2006/main" count="1214" uniqueCount="516">
  <si>
    <t>S.NO</t>
  </si>
  <si>
    <t>Names</t>
  </si>
  <si>
    <t>Group No</t>
  </si>
  <si>
    <t>CD</t>
  </si>
  <si>
    <t>TD</t>
  </si>
  <si>
    <t>C.M. Amnt</t>
  </si>
  <si>
    <t>T.P. Amnt</t>
  </si>
  <si>
    <t>T.Colle..</t>
  </si>
  <si>
    <t>B.Amount</t>
  </si>
  <si>
    <t>LDR</t>
  </si>
  <si>
    <t>PH.No</t>
  </si>
  <si>
    <t>Agnt.Name</t>
  </si>
  <si>
    <t>Balakrishnan B.K</t>
  </si>
  <si>
    <t>BK2A/001/01</t>
  </si>
  <si>
    <t>Sundarraj.v</t>
  </si>
  <si>
    <t>Kumaresan.R</t>
  </si>
  <si>
    <t>BK2D/001/05</t>
  </si>
  <si>
    <t xml:space="preserve">Balakrishnan </t>
  </si>
  <si>
    <t>Ezhilarasu.T</t>
  </si>
  <si>
    <t>BK2A/001/10</t>
  </si>
  <si>
    <t>Vinoth Kumar.N</t>
  </si>
  <si>
    <t>BK2A/001/21</t>
  </si>
  <si>
    <t>Haresh  Shakthivel</t>
  </si>
  <si>
    <t>BK2B/001/06</t>
  </si>
  <si>
    <t>Sharmila Joyce Princy.A</t>
  </si>
  <si>
    <t>BK2A/001/30</t>
  </si>
  <si>
    <t>Sudharsan</t>
  </si>
  <si>
    <t>BK2C/001/05</t>
  </si>
  <si>
    <t>Balakrishnan</t>
  </si>
  <si>
    <t>Jagadheesan</t>
  </si>
  <si>
    <t>BK2C/001/09</t>
  </si>
  <si>
    <t>Albert</t>
  </si>
  <si>
    <t>BK2C/001/10</t>
  </si>
  <si>
    <t>BK2C/001/11</t>
  </si>
  <si>
    <t>Dharmalingam. P</t>
  </si>
  <si>
    <t>BK3C/001/01</t>
  </si>
  <si>
    <t>Raju</t>
  </si>
  <si>
    <t>Gowrishankar.R</t>
  </si>
  <si>
    <t>BK1B/001/01</t>
  </si>
  <si>
    <t>Indian Logistics And Slogs</t>
  </si>
  <si>
    <t>BK3E/001/12,13</t>
  </si>
  <si>
    <t>TOTAL</t>
  </si>
  <si>
    <t xml:space="preserve">Punniya Moorthy </t>
  </si>
  <si>
    <t>BK2B/001/26</t>
  </si>
  <si>
    <t xml:space="preserve">Naresh </t>
  </si>
  <si>
    <t>BK2D/001/26</t>
  </si>
  <si>
    <t>BK2C/001/18</t>
  </si>
  <si>
    <t xml:space="preserve">Suryaa. Y </t>
  </si>
  <si>
    <t>BK1A/001/12</t>
  </si>
  <si>
    <t xml:space="preserve">Kannan. E </t>
  </si>
  <si>
    <t>BK3A/001/04</t>
  </si>
  <si>
    <t xml:space="preserve">Ram Kumar </t>
  </si>
  <si>
    <t>BK2C/001/19</t>
  </si>
  <si>
    <t>Vadivu</t>
  </si>
  <si>
    <t>BK2A/001/59</t>
  </si>
  <si>
    <t>Vigneshwaran</t>
  </si>
  <si>
    <t>BK1E/001/04</t>
  </si>
  <si>
    <t xml:space="preserve">Ashok Kumar </t>
  </si>
  <si>
    <t>BK3A/001/05</t>
  </si>
  <si>
    <t>BK3A/001/06</t>
  </si>
  <si>
    <t>Meharnisha</t>
  </si>
  <si>
    <t>BK3E//01/02</t>
  </si>
  <si>
    <t>Kesavan</t>
  </si>
  <si>
    <t>BK2D/001/31</t>
  </si>
  <si>
    <t xml:space="preserve">Kumar </t>
  </si>
  <si>
    <t>BK2B/001/28</t>
  </si>
  <si>
    <t>Prabhu</t>
  </si>
  <si>
    <t>BK1A/001/19</t>
  </si>
  <si>
    <t xml:space="preserve">Haresh Sakthivel </t>
  </si>
  <si>
    <t>BK2E/001/17</t>
  </si>
  <si>
    <t>BK2E/001/18</t>
  </si>
  <si>
    <t>Tharani .D</t>
  </si>
  <si>
    <t>BK1A/001/18</t>
  </si>
  <si>
    <t>Boopalan</t>
  </si>
  <si>
    <t xml:space="preserve">Brindha </t>
  </si>
  <si>
    <t>BK2B/001/29</t>
  </si>
  <si>
    <t>Ganesan</t>
  </si>
  <si>
    <t>BK2D/001/06</t>
  </si>
  <si>
    <t>Kalarani</t>
  </si>
  <si>
    <t>BK2A/001/38</t>
  </si>
  <si>
    <t>Nithya. T</t>
  </si>
  <si>
    <t>BK2B/001/19</t>
  </si>
  <si>
    <t>Nagappan. A</t>
  </si>
  <si>
    <t>Subramani</t>
  </si>
  <si>
    <t>BK2C/001/14</t>
  </si>
  <si>
    <t>Karthik</t>
  </si>
  <si>
    <t>Sekar. S</t>
  </si>
  <si>
    <t>BK1A/001/08</t>
  </si>
  <si>
    <t>BK2A/001/45</t>
  </si>
  <si>
    <t>Jothi</t>
  </si>
  <si>
    <t>BK2D/001/24</t>
  </si>
  <si>
    <t>Balachander</t>
  </si>
  <si>
    <t>BK2D/001/29</t>
  </si>
  <si>
    <t>Bharathi</t>
  </si>
  <si>
    <t>BK3A/001/07</t>
  </si>
  <si>
    <t>BK3C/001/03</t>
  </si>
  <si>
    <t>Ashok Kumar</t>
  </si>
  <si>
    <t>BK3A/001/08</t>
  </si>
  <si>
    <t>Sathis Kumar</t>
  </si>
  <si>
    <t>BK1E/001/05</t>
  </si>
  <si>
    <t>Latha</t>
  </si>
  <si>
    <t>BK1E/001/06</t>
  </si>
  <si>
    <t>Shathini</t>
  </si>
  <si>
    <t>BK2D/001/33</t>
  </si>
  <si>
    <t>Bala Krishnan</t>
  </si>
  <si>
    <t>Murugan .D</t>
  </si>
  <si>
    <t>BK2C/001/08</t>
  </si>
  <si>
    <t>Murugesan</t>
  </si>
  <si>
    <t>BK1A/001/16</t>
  </si>
  <si>
    <t>Kalpana</t>
  </si>
  <si>
    <t>BK2A/001/62</t>
  </si>
  <si>
    <t xml:space="preserve"> S.No</t>
  </si>
  <si>
    <t>C.M.Amnt</t>
  </si>
  <si>
    <t>Naresh.M</t>
  </si>
  <si>
    <t>Thangaraj. N</t>
  </si>
  <si>
    <t>BK2B/001/07</t>
  </si>
  <si>
    <t>Meharunnisha</t>
  </si>
  <si>
    <t>BK2D/001/11</t>
  </si>
  <si>
    <t>Vijay Kumar. G</t>
  </si>
  <si>
    <t>BK2D/001/22</t>
  </si>
  <si>
    <t>Senthil Swamy</t>
  </si>
  <si>
    <t>BK2C/001/04</t>
  </si>
  <si>
    <t>Vinoth Kumar. S</t>
  </si>
  <si>
    <t>BK2A/001/22</t>
  </si>
  <si>
    <t>Benadict Thomas</t>
  </si>
  <si>
    <t>BK2A/001/28</t>
  </si>
  <si>
    <t>Nagarajan</t>
  </si>
  <si>
    <t>BK2A/001/34</t>
  </si>
  <si>
    <t>Karthi .S</t>
  </si>
  <si>
    <t>BK2F/001/05</t>
  </si>
  <si>
    <t>Indhu. C. M</t>
  </si>
  <si>
    <t>BK2A/001/36</t>
  </si>
  <si>
    <t>Bala Murugan</t>
  </si>
  <si>
    <t>BK2D/001/10</t>
  </si>
  <si>
    <t>Karthik. S</t>
  </si>
  <si>
    <t>BK2E/001/10</t>
  </si>
  <si>
    <t>Ashok kumar. B</t>
  </si>
  <si>
    <t>BK2B/001/15</t>
  </si>
  <si>
    <t>Indian Logistics And Slog</t>
  </si>
  <si>
    <t>BK2D/001/17</t>
  </si>
  <si>
    <t>BK2D/001/18</t>
  </si>
  <si>
    <t>BK2A/001/15</t>
  </si>
  <si>
    <t>Vasanthakumar</t>
  </si>
  <si>
    <t>BK2D/001/01</t>
  </si>
  <si>
    <t>Kannan.G</t>
  </si>
  <si>
    <t>BK2D/001/02</t>
  </si>
  <si>
    <t>BK2E/001/01</t>
  </si>
  <si>
    <t>Samuvel Jaichandran .K</t>
  </si>
  <si>
    <t>BK2B/001/04</t>
  </si>
  <si>
    <t>Rabiya Banu</t>
  </si>
  <si>
    <t>BK2A/001/14</t>
  </si>
  <si>
    <t>Sri Vasukee. M.L</t>
  </si>
  <si>
    <t>BK2A/001/23</t>
  </si>
  <si>
    <t>Suresh.R</t>
  </si>
  <si>
    <t>BK2A/001/33</t>
  </si>
  <si>
    <t>Rangaram ( Trasfer Chit)</t>
  </si>
  <si>
    <t>BK2E/001/07</t>
  </si>
  <si>
    <t>Hariprasanth. S</t>
  </si>
  <si>
    <t>BK2D/001/12</t>
  </si>
  <si>
    <t>BK2D/001/16</t>
  </si>
  <si>
    <t>Rajkumar (Transfer Chit)</t>
  </si>
  <si>
    <t>BK2E/001/08</t>
  </si>
  <si>
    <t>Madhuraveeran C.S</t>
  </si>
  <si>
    <t>BK2D/001/19</t>
  </si>
  <si>
    <t>Ravi Kumar. K</t>
  </si>
  <si>
    <t>BK2A/001/20</t>
  </si>
  <si>
    <t>Singaravelu. J</t>
  </si>
  <si>
    <t>BK2C/001/03</t>
  </si>
  <si>
    <t>BK2B/001/10</t>
  </si>
  <si>
    <t>Sasirekha. V</t>
  </si>
  <si>
    <t>BK2E/001/04</t>
  </si>
  <si>
    <t xml:space="preserve">Infant Deison </t>
  </si>
  <si>
    <t>BK3C/001/02</t>
  </si>
  <si>
    <t xml:space="preserve">Sasi Kumar </t>
  </si>
  <si>
    <t>BK2A/001/61</t>
  </si>
  <si>
    <t>Sundarraj.V</t>
  </si>
  <si>
    <t>BK2A/001/08</t>
  </si>
  <si>
    <t>Pravin Kumar.P</t>
  </si>
  <si>
    <t>BK2D/001/04</t>
  </si>
  <si>
    <t>Balumahendran .B</t>
  </si>
  <si>
    <t>BK2A/001/27</t>
  </si>
  <si>
    <t>Manoharan.R</t>
  </si>
  <si>
    <t>Madheshwaran.A</t>
  </si>
  <si>
    <t>BK2B/001/03</t>
  </si>
  <si>
    <t>Venkatesan.R</t>
  </si>
  <si>
    <t>BK3B/001/02</t>
  </si>
  <si>
    <t>BK3D/001/02</t>
  </si>
  <si>
    <t>Murugan.C</t>
  </si>
  <si>
    <t>BK2C/001/01</t>
  </si>
  <si>
    <t>Jayavel Singh</t>
  </si>
  <si>
    <t>BK2B/001/08</t>
  </si>
  <si>
    <t>Kanmani</t>
  </si>
  <si>
    <t>BK2B/001/09</t>
  </si>
  <si>
    <t>Sambath</t>
  </si>
  <si>
    <t>BK2A/001/25</t>
  </si>
  <si>
    <t>Sasi</t>
  </si>
  <si>
    <t>Sudheer</t>
  </si>
  <si>
    <t>BK3A/001/01</t>
  </si>
  <si>
    <t>Amsaveni</t>
  </si>
  <si>
    <t>BK2B/001/13</t>
  </si>
  <si>
    <t>Selvam</t>
  </si>
  <si>
    <t>BK2B/001/12</t>
  </si>
  <si>
    <t>Ramesh</t>
  </si>
  <si>
    <t>BK2B/001/14</t>
  </si>
  <si>
    <t>Elezabethrani</t>
  </si>
  <si>
    <t>BK2B/001/17</t>
  </si>
  <si>
    <t>Sampath kumar. M</t>
  </si>
  <si>
    <t>BK2A/001/40</t>
  </si>
  <si>
    <t>Lakshmi</t>
  </si>
  <si>
    <t>BK2A/001/03</t>
  </si>
  <si>
    <t>Kannaiyan. R</t>
  </si>
  <si>
    <t>BK2A/001/44</t>
  </si>
  <si>
    <t>Vasanthi. S</t>
  </si>
  <si>
    <t>BK2B/001/20</t>
  </si>
  <si>
    <t>Suresh. R</t>
  </si>
  <si>
    <t>BK2C/001/15</t>
  </si>
  <si>
    <t>Senthilnathan</t>
  </si>
  <si>
    <t>BK2A/001/48</t>
  </si>
  <si>
    <t>Kaviraj</t>
  </si>
  <si>
    <t>BK2B/001/22</t>
  </si>
  <si>
    <t>Prakasam. K</t>
  </si>
  <si>
    <t>BK2D/001/25</t>
  </si>
  <si>
    <t>Ramar</t>
  </si>
  <si>
    <t>BK1C/001/04</t>
  </si>
  <si>
    <t>Ragavan</t>
  </si>
  <si>
    <t>BK2B/001/23</t>
  </si>
  <si>
    <t>Rajamanickam</t>
  </si>
  <si>
    <t>BK2E/001/14</t>
  </si>
  <si>
    <t>Vinoth Kumar</t>
  </si>
  <si>
    <t>BK2A/001/51</t>
  </si>
  <si>
    <t>Sathya</t>
  </si>
  <si>
    <t>BK2B/001/25</t>
  </si>
  <si>
    <t>Barath. M</t>
  </si>
  <si>
    <t>BK1A/001/11</t>
  </si>
  <si>
    <t>Mahendiran. P</t>
  </si>
  <si>
    <t>BK3D/001/07</t>
  </si>
  <si>
    <t>Laxmi Trading Company</t>
  </si>
  <si>
    <t>BK2D/001/28</t>
  </si>
  <si>
    <t>Sanjeev Kumar</t>
  </si>
  <si>
    <t>BK2A/001/53</t>
  </si>
  <si>
    <t>BK1B/001/02</t>
  </si>
  <si>
    <t xml:space="preserve">Sathees Kumar </t>
  </si>
  <si>
    <t>BK2A/001/54</t>
  </si>
  <si>
    <t xml:space="preserve">Srinivasan </t>
  </si>
  <si>
    <t>BK2A/001/57</t>
  </si>
  <si>
    <t xml:space="preserve">Manikadan </t>
  </si>
  <si>
    <t>BK2A/001/58</t>
  </si>
  <si>
    <t>Sundarraj</t>
  </si>
  <si>
    <t xml:space="preserve">Nadarajan </t>
  </si>
  <si>
    <t xml:space="preserve">Nithyananth. R </t>
  </si>
  <si>
    <t>BK3D/001/06</t>
  </si>
  <si>
    <t>Madhan Singh</t>
  </si>
  <si>
    <t>BK2D/001/30</t>
  </si>
  <si>
    <t>Sundar Raj</t>
  </si>
  <si>
    <t>Danapal</t>
  </si>
  <si>
    <t xml:space="preserve">Kavitha </t>
  </si>
  <si>
    <t>BK1D/001/02</t>
  </si>
  <si>
    <t>Asikali</t>
  </si>
  <si>
    <t>BK2C/001/22</t>
  </si>
  <si>
    <t>Krishnan</t>
  </si>
  <si>
    <t>BK2C/001/21</t>
  </si>
  <si>
    <t xml:space="preserve">Varman </t>
  </si>
  <si>
    <t>BK2E/001/15</t>
  </si>
  <si>
    <t>Varman</t>
  </si>
  <si>
    <t>BK2E/001/16</t>
  </si>
  <si>
    <t xml:space="preserve">Oviya </t>
  </si>
  <si>
    <t>BK2F/001/01</t>
  </si>
  <si>
    <t xml:space="preserve">Sharmila Banu </t>
  </si>
  <si>
    <t>BK2B/001/34</t>
  </si>
  <si>
    <t xml:space="preserve">Suresh </t>
  </si>
  <si>
    <t>BK2D/001/35</t>
  </si>
  <si>
    <t>BK2A/001/63</t>
  </si>
  <si>
    <t>Karthikeyan</t>
  </si>
  <si>
    <t>BK1A/001/20</t>
  </si>
  <si>
    <t>BK2D/001/03</t>
  </si>
  <si>
    <t>Deva Kumar</t>
  </si>
  <si>
    <t>BK2A/001/26</t>
  </si>
  <si>
    <t>BK2A/001/04</t>
  </si>
  <si>
    <t>BK3D/001/01</t>
  </si>
  <si>
    <t>Rangaram.D</t>
  </si>
  <si>
    <t>BK2E/001/03</t>
  </si>
  <si>
    <t>BK3B/001/01</t>
  </si>
  <si>
    <t>Priyanka.K</t>
  </si>
  <si>
    <t>BK2A/001/18</t>
  </si>
  <si>
    <t>Satheeshkumar .K</t>
  </si>
  <si>
    <t>BK2A/001/19</t>
  </si>
  <si>
    <t>Ram Kumar</t>
  </si>
  <si>
    <t>BK3D/001/03</t>
  </si>
  <si>
    <t>Navarasan</t>
  </si>
  <si>
    <t>BK2D/001/07</t>
  </si>
  <si>
    <t>Dhanalakshmi Bangle Store</t>
  </si>
  <si>
    <t>BK2D/001/08</t>
  </si>
  <si>
    <t>Jaya Prakash</t>
  </si>
  <si>
    <t>BK3E/001/01</t>
  </si>
  <si>
    <t>Hari Prasanth. S</t>
  </si>
  <si>
    <t>BK2D/001/13</t>
  </si>
  <si>
    <t>BK3D/001/05</t>
  </si>
  <si>
    <t>Charles Fernandez</t>
  </si>
  <si>
    <t>BK2C/001/06</t>
  </si>
  <si>
    <t>BK2C/001/12</t>
  </si>
  <si>
    <t>BK2A/001/43</t>
  </si>
  <si>
    <t>Thangadhurai</t>
  </si>
  <si>
    <t>BK2A/001/29</t>
  </si>
  <si>
    <t>BK2E/001/09</t>
  </si>
  <si>
    <t>Hajeera</t>
  </si>
  <si>
    <t>BK2A/001/46,47</t>
  </si>
  <si>
    <t>Dhanalakshmi Bangels Store</t>
  </si>
  <si>
    <t>BK2E/001/11</t>
  </si>
  <si>
    <t>BK2D/001/23</t>
  </si>
  <si>
    <t>Iyanarappan. K</t>
  </si>
  <si>
    <t>BK2C/001/17</t>
  </si>
  <si>
    <t>BK2A/001/52</t>
  </si>
  <si>
    <t>Dinesh Raj. J</t>
  </si>
  <si>
    <t>BK1E/001/03</t>
  </si>
  <si>
    <t>Prabu</t>
  </si>
  <si>
    <t>BK3A/001/02</t>
  </si>
  <si>
    <t>Muruganantham</t>
  </si>
  <si>
    <t>BK2B/001/21</t>
  </si>
  <si>
    <t>Balaji</t>
  </si>
  <si>
    <t>BK2B/001/24</t>
  </si>
  <si>
    <t>Kokila</t>
  </si>
  <si>
    <t xml:space="preserve">         NON PAID DAILY  BOOPALAN</t>
  </si>
  <si>
    <t>NON PAID MONTHLY BOOPALAN</t>
  </si>
  <si>
    <t xml:space="preserve">Prabhu </t>
  </si>
  <si>
    <t>BK1B/001/03</t>
  </si>
  <si>
    <t>Manimega</t>
  </si>
  <si>
    <t>BK1D/001/03</t>
  </si>
  <si>
    <t>Akram</t>
  </si>
  <si>
    <t>BK2A/001/65</t>
  </si>
  <si>
    <t>BK1A/001/10</t>
  </si>
  <si>
    <t>BK2C/001/16</t>
  </si>
  <si>
    <t xml:space="preserve">Kirubanithi </t>
  </si>
  <si>
    <t>BK3A/001/03</t>
  </si>
  <si>
    <t>BK1A/001/21</t>
  </si>
  <si>
    <t>Mangaiyarkarasi</t>
  </si>
  <si>
    <t>Syed Zafulla</t>
  </si>
  <si>
    <t>BK2A/001/64</t>
  </si>
  <si>
    <t xml:space="preserve">         NON PAID DAILY  SUNDAR</t>
  </si>
  <si>
    <t>PAID DAILY SUNDAR</t>
  </si>
  <si>
    <t>PAID DAILY BOOPALAN</t>
  </si>
  <si>
    <t xml:space="preserve">            BK CHITS PRIVATE LIMITED </t>
  </si>
  <si>
    <t xml:space="preserve">           BK CHITS PRIVATE LIMITED </t>
  </si>
  <si>
    <t xml:space="preserve">                     BK CHITS PRIVATE LIMITED </t>
  </si>
  <si>
    <t xml:space="preserve">                        BK CHITS PRIVATE LIMITED </t>
  </si>
  <si>
    <t xml:space="preserve">                       BK CHITS PRIVATE LIMITED </t>
  </si>
  <si>
    <t>NON PAID MONTHLY SUNDAR</t>
  </si>
  <si>
    <t xml:space="preserve">                  BK CHITS PRIVATE LIMITED </t>
  </si>
  <si>
    <t>Madheshwaran. A (BK3D/001/01)</t>
  </si>
  <si>
    <t>Venkatesan. R (BK3B/001/01)</t>
  </si>
  <si>
    <t>Venkatesan. R (BK3B/001/02)</t>
  </si>
  <si>
    <t>Meharrunnisha. M (BK3D/001/02)</t>
  </si>
  <si>
    <t>Priyanka. K (BK2A/001/18)</t>
  </si>
  <si>
    <t>Satheesh Kumar. K (BK2A/001/19)</t>
  </si>
  <si>
    <t>Haresh  Shakthivel (BK2B/001/06)</t>
  </si>
  <si>
    <t>Madhuraveeran. C.S (BK2D/001/19)</t>
  </si>
  <si>
    <t>Thangaraj. N (BK2B/001/07)</t>
  </si>
  <si>
    <t>Meharunnisha (BK2D/001/11)</t>
  </si>
  <si>
    <t>Kesavan. K.R (BK2A/001/15)</t>
  </si>
  <si>
    <t>Murugan. C (BK2C/001/01)</t>
  </si>
  <si>
    <t>Balumahendran. B (BK2A/001/27)</t>
  </si>
  <si>
    <t>Deva Kumar. G (BK2A/001/26)</t>
  </si>
  <si>
    <t>Charles Fernandez. D (BK2C/001/06)</t>
  </si>
  <si>
    <t>Thangadurai. S (BK2A/001/29)</t>
  </si>
  <si>
    <t>Jayavel Singh. N (BK2B/001/08)</t>
  </si>
  <si>
    <t>Kanmani (BK2B/001/09)</t>
  </si>
  <si>
    <t>Vijay Kumar. G (BK2D/001/22)</t>
  </si>
  <si>
    <t>Senthil Swamy (BK2B/001/10)</t>
  </si>
  <si>
    <t>Senthil Swamy (BK2C/001/04)</t>
  </si>
  <si>
    <t>Ganesan (BK2D/001/06)</t>
  </si>
  <si>
    <t>Rabiya Banu (BK2A/001/14)</t>
  </si>
  <si>
    <t>Vinoth Kumar. S (BK2A/001/22)</t>
  </si>
  <si>
    <t>Sri Vasukee. M.L (BK2A/001/23)</t>
  </si>
  <si>
    <t>Sambath. S (BK2A/001/25)</t>
  </si>
  <si>
    <t>Benadict Thomas. T (BK2A/001/28)</t>
  </si>
  <si>
    <t>Sharmila Joyce princy. A(BK2A/001/30)</t>
  </si>
  <si>
    <t>Ram Kumar. R (BK3D/001/03)</t>
  </si>
  <si>
    <t>9442414554, 9360704554</t>
  </si>
  <si>
    <t>Sudharsan. S (BK2C/001/05)</t>
  </si>
  <si>
    <t>9600709503, 8438270986</t>
  </si>
  <si>
    <t>Suresh. R (BK2A/001/33)</t>
  </si>
  <si>
    <t>Navarasan. K (BK2D/001/07)</t>
  </si>
  <si>
    <t>8072321982, 9994644724</t>
  </si>
  <si>
    <t>Nagarajan. G (BK2A/001/34)</t>
  </si>
  <si>
    <t>9843517476, 9500942111</t>
  </si>
  <si>
    <t>Karthik .S (BK2F/001/05)</t>
  </si>
  <si>
    <t>Sudheer. V (BK3A/001/01)</t>
  </si>
  <si>
    <t>Dhanalakshmi Bangle Store (BK2D/001/08)</t>
  </si>
  <si>
    <t>Indhu. C.M (BK2A/001/36)</t>
  </si>
  <si>
    <t>Amsaveni .R (BK2B/001/13)</t>
  </si>
  <si>
    <t>Murugan. D (BK2C/001/08)</t>
  </si>
  <si>
    <t>Balamurugan. R (BK2D/001/10)</t>
  </si>
  <si>
    <t>Jagadeesan.A.V (BK2C/001/09)</t>
  </si>
  <si>
    <t>Selvam.R (BK2B/001/12)</t>
  </si>
  <si>
    <t>9677626220, 9942049161</t>
  </si>
  <si>
    <t>Albert. M (BK2C/001/10)</t>
  </si>
  <si>
    <t>Albert. M (BK2C/001/11)</t>
  </si>
  <si>
    <t>Jayaprakash. R (BK3E/001/01)</t>
  </si>
  <si>
    <t>Laxmi Trading Company (BK2E/001/09)</t>
  </si>
  <si>
    <t>Ashok Kumar. B (BK2B/001/15)</t>
  </si>
  <si>
    <t>Karthik. S (BK2E/001/10)</t>
  </si>
  <si>
    <t>Kalarani (BK2A/001/38)</t>
  </si>
  <si>
    <t>Hari Prasanth. S (BK2D/001/12)</t>
  </si>
  <si>
    <t>Elezabeth Rani (BK2B/001/17)</t>
  </si>
  <si>
    <t>Sampath Kumar. M (BK2A/001/40)</t>
  </si>
  <si>
    <t>Nithya. T (BK2B/001/19)</t>
  </si>
  <si>
    <t>Hari Prasanth. S (BK2D/001/13)</t>
  </si>
  <si>
    <t>Lakshmi. M (BK2A/001/03)</t>
  </si>
  <si>
    <t>Prakasam. K (BK2C/001/12)</t>
  </si>
  <si>
    <t>Kannaiyan. R (BK2A/001/43)</t>
  </si>
  <si>
    <t>Dharmalingam. P (BK3C/001/01)</t>
  </si>
  <si>
    <t>Ram Kumar . R (BK3D/001/05)</t>
  </si>
  <si>
    <t>Subramani  (BK2C/001/14)</t>
  </si>
  <si>
    <t>9788299912, 9043144515</t>
  </si>
  <si>
    <t>Kalarani (BK2A/001/45)</t>
  </si>
  <si>
    <t>Vasanthi. S (BK2B/001/20)</t>
  </si>
  <si>
    <t>Prabu (BK3A/001/02)</t>
  </si>
  <si>
    <t>Dhanalakshmi Bangels Store (BK2D/001/23)</t>
  </si>
  <si>
    <t>Dhanalakshmi Bangles Store (BK2E/001/11)</t>
  </si>
  <si>
    <t>Hajeera (BK2A/001/46,47)</t>
  </si>
  <si>
    <t>Iyanarappan (BK2C/001/17)</t>
  </si>
  <si>
    <t>Suresh.R (BK2C/001/15)</t>
  </si>
  <si>
    <t>Muruganantham (BK2B/001/21)</t>
  </si>
  <si>
    <t>Jothi (BK2D/001/24)</t>
  </si>
  <si>
    <t>Kirubanithi (BK2C/001/16)</t>
  </si>
  <si>
    <t>Senthilnathan (BK2A/001/48)</t>
  </si>
  <si>
    <t>Prakasam. K (BK2D/001/25)</t>
  </si>
  <si>
    <t>Kaviraj (BK2B/001/22)</t>
  </si>
  <si>
    <t>Indian Logistics And Slogs (BK2E/001/12,13)</t>
  </si>
  <si>
    <t>Gowri Shankar. R (BK1B/001/01)</t>
  </si>
  <si>
    <t>Gowri Shankar. R (BK1A/001/10)</t>
  </si>
  <si>
    <t>Balaji (BK2B/001/24)</t>
  </si>
  <si>
    <t>Ramar (BK1C/001/04)</t>
  </si>
  <si>
    <t>Ragavan (BK2B/001/23)</t>
  </si>
  <si>
    <t>Dinesh Raj. J (BK1E/001/03)</t>
  </si>
  <si>
    <t>Nithyananth. R (BK3D/001/06)</t>
  </si>
  <si>
    <t>Rajamanickam (BK2E/001/14)</t>
  </si>
  <si>
    <t>Vinoth kumar. E (BK2A/001/51)</t>
  </si>
  <si>
    <t>Sathya (BK2B/001/25)</t>
  </si>
  <si>
    <t>Sathya (BK2A/001/52)</t>
  </si>
  <si>
    <t>Bharath (BK1A/001/11)</t>
  </si>
  <si>
    <t>Ashok Kumar (BK3A/001/03)</t>
  </si>
  <si>
    <t>Punniya Moorthy (BK2B/001/26)</t>
  </si>
  <si>
    <t>Naresh (BK2D/001/26)</t>
  </si>
  <si>
    <t>Naresh (BK2C/001/18)</t>
  </si>
  <si>
    <t>Suryaa. Y (BK1A/001/12)</t>
  </si>
  <si>
    <t>Mahendiran. P (BK3D/001/07)</t>
  </si>
  <si>
    <t>9791277338, 8608643554</t>
  </si>
  <si>
    <t>Kannan. E (BK3A/001/04)</t>
  </si>
  <si>
    <t>Ram Kumar (BK2C/001/19)</t>
  </si>
  <si>
    <t>Sanjeev Kumar (BK2A/001/53)</t>
  </si>
  <si>
    <t>7010908505 8220049768</t>
  </si>
  <si>
    <t>Ramar (BK1B/001/02)</t>
  </si>
  <si>
    <t>Laxmi Trading Company (BK2D/001/28)</t>
  </si>
  <si>
    <t>Sathish Kumar (BK2A/001/54)</t>
  </si>
  <si>
    <t>8098927191, 6374384156</t>
  </si>
  <si>
    <t>Bala Chander.  (BK2D/001/29)</t>
  </si>
  <si>
    <t>Srinivasan (BK2A/001/57)</t>
  </si>
  <si>
    <t>9629142783, 9043014293</t>
  </si>
  <si>
    <t>Manikandan  (BK2A/001/58)</t>
  </si>
  <si>
    <t>Vadivukarasi  (BK2A/001/59)</t>
  </si>
  <si>
    <t>Mudhu Kasinathan (BK1A/001/13)</t>
  </si>
  <si>
    <t>Infant Deison (BK3C/001/02)</t>
  </si>
  <si>
    <t>Nadarajan .M (BK2A/001/59)</t>
  </si>
  <si>
    <t>Ashok Kumar  (BK3A/001/05)</t>
  </si>
  <si>
    <t>Ashok Kmar (BK3A/001/06)</t>
  </si>
  <si>
    <t>Kokila (BK3C/001/03)</t>
  </si>
  <si>
    <t>6381887652, 9894273579</t>
  </si>
  <si>
    <t>Sasi Kumar (BK2A/001/61)</t>
  </si>
  <si>
    <t>Madhan Singh (BK2D/001/30)</t>
  </si>
  <si>
    <t>9677602086 , 7358814905</t>
  </si>
  <si>
    <t>Bharathi (BK3A/001/07)</t>
  </si>
  <si>
    <t>9843133249, 8825827852</t>
  </si>
  <si>
    <t>Meharunnisha.M (BK3E/001/02)</t>
  </si>
  <si>
    <t>Kesavan (BK2D/001/31)</t>
  </si>
  <si>
    <t>Ashok Kumar (BK3A/001/08)</t>
  </si>
  <si>
    <t>Murugesan R (BK1A/001/16)</t>
  </si>
  <si>
    <t>Kumar (BK2B/001/28)</t>
  </si>
  <si>
    <t>Danapal (BK3D/001/07)</t>
  </si>
  <si>
    <t>Kavitha (BK1D/001/02)</t>
  </si>
  <si>
    <t>Sathis Kumar (BK1E/001/05)</t>
  </si>
  <si>
    <t>Latha (BK1E/001/06)</t>
  </si>
  <si>
    <t>Shathini (BK2D/001/33)</t>
  </si>
  <si>
    <t>Asikali (BK2C/001/22)</t>
  </si>
  <si>
    <t>Krishnan (BK2C/001/21)</t>
  </si>
  <si>
    <t>Varman (BK2E/001/15)</t>
  </si>
  <si>
    <t>9655877222 , 9566841666</t>
  </si>
  <si>
    <t>Varman (BK2E/001/16)</t>
  </si>
  <si>
    <t>Oviya (BK3F/001/01)</t>
  </si>
  <si>
    <t>Sharmila Banu (BK2B/001/34)</t>
  </si>
  <si>
    <t>Prabhu (BK1A/001/19)</t>
  </si>
  <si>
    <t>Haresh Sakthivel (BK2E/001/17)</t>
  </si>
  <si>
    <t>Haresh Sakthivel (BK2E/001/18)</t>
  </si>
  <si>
    <t>Tharani .D (BK1A/001/18)</t>
  </si>
  <si>
    <t>Kalpana (BK2A/001/62)</t>
  </si>
  <si>
    <t>Suresh (BK2D/001/35)</t>
  </si>
  <si>
    <t>Lakshmi (BK2A/001/63)</t>
  </si>
  <si>
    <t>Karthikeyan (BK1A/001/20)</t>
  </si>
  <si>
    <t>Syed Zaffulla (BK2A/001/64)</t>
  </si>
  <si>
    <t>Brindha (BK2B/001/29)</t>
  </si>
  <si>
    <t>Akram (BK2A/001/65)</t>
  </si>
  <si>
    <t>ManiMegan.K (BK1B/001/03)</t>
  </si>
  <si>
    <t>Prabhu (BK1D/001/03)</t>
  </si>
  <si>
    <t>Ramesh(BK2C/001/14)</t>
  </si>
  <si>
    <t>Mangaiyarkarasi (BK1A/001/21)</t>
  </si>
  <si>
    <t>Kannan .M (BK2F/001/06)</t>
  </si>
  <si>
    <t>Gopi (BK2A/001/66)</t>
  </si>
  <si>
    <t>99767 97569</t>
  </si>
  <si>
    <t xml:space="preserve">S.no </t>
  </si>
  <si>
    <t>Name</t>
  </si>
  <si>
    <t>C.d</t>
  </si>
  <si>
    <t>T.D</t>
  </si>
  <si>
    <t>02-12-205</t>
  </si>
  <si>
    <t>31-11-2025</t>
  </si>
  <si>
    <t>book Type</t>
  </si>
  <si>
    <t>monthly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</si>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</sst>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rgb="FF9C5700"/>
      <name val="Aptos Narrow"/>
      <family val="2"/>
      <scheme val="minor"/>
    </font>
    <font>
      <b/>
      <sz val="16"/>
      <name val="Times New Roman"/>
      <family val="1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5" borderId="0" applyNumberFormat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9" xfId="1" applyFont="1" applyFill="1" applyBorder="1" applyAlignment="1">
      <alignment horizontal="left" vertical="center"/>
    </xf>
    <xf numFmtId="0" fontId="5" fillId="4" borderId="9" xfId="1" applyFont="1" applyFill="1" applyBorder="1" applyAlignment="1">
      <alignment horizontal="center" vertical="center"/>
    </xf>
    <xf numFmtId="14" fontId="5" fillId="4" borderId="9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15" xfId="0" applyFont="1" applyBorder="1"/>
    <xf numFmtId="4" fontId="4" fillId="0" borderId="20" xfId="0" applyNumberFormat="1" applyFont="1" applyBorder="1" applyAlignment="1">
      <alignment horizontal="right" vertical="center"/>
    </xf>
    <xf numFmtId="2" fontId="4" fillId="0" borderId="7" xfId="0" applyNumberFormat="1" applyFont="1" applyBorder="1" applyAlignment="1">
      <alignment horizontal="center" vertical="center" wrapText="1"/>
    </xf>
    <xf numFmtId="17" fontId="4" fillId="3" borderId="13" xfId="0" applyNumberFormat="1" applyFont="1" applyFill="1" applyBorder="1" applyAlignment="1">
      <alignment vertical="center"/>
    </xf>
    <xf numFmtId="14" fontId="4" fillId="3" borderId="21" xfId="0" applyNumberFormat="1" applyFont="1" applyFill="1" applyBorder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4" fillId="0" borderId="9" xfId="0" applyFont="1" applyBorder="1" applyAlignment="1">
      <alignment horizontal="center" vertical="center" wrapText="1"/>
    </xf>
    <xf numFmtId="14" fontId="5" fillId="0" borderId="9" xfId="0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right"/>
    </xf>
    <xf numFmtId="0" fontId="4" fillId="7" borderId="9" xfId="0" applyFont="1" applyFill="1" applyBorder="1" applyAlignment="1">
      <alignment horizontal="center"/>
    </xf>
    <xf numFmtId="17" fontId="4" fillId="3" borderId="9" xfId="0" applyNumberFormat="1" applyFont="1" applyFill="1" applyBorder="1" applyAlignment="1">
      <alignment horizontal="center"/>
    </xf>
    <xf numFmtId="14" fontId="4" fillId="3" borderId="9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5" fillId="4" borderId="9" xfId="1" applyFont="1" applyFill="1" applyBorder="1" applyAlignment="1">
      <alignment horizontal="center"/>
    </xf>
    <xf numFmtId="0" fontId="5" fillId="4" borderId="9" xfId="1" applyFont="1" applyFill="1" applyBorder="1" applyAlignment="1">
      <alignment horizontal="left"/>
    </xf>
    <xf numFmtId="14" fontId="5" fillId="4" borderId="9" xfId="1" applyNumberFormat="1" applyFont="1" applyFill="1" applyBorder="1" applyAlignment="1">
      <alignment horizontal="center"/>
    </xf>
    <xf numFmtId="4" fontId="5" fillId="0" borderId="9" xfId="0" applyNumberFormat="1" applyFont="1" applyBorder="1" applyAlignment="1">
      <alignment horizontal="right"/>
    </xf>
    <xf numFmtId="14" fontId="5" fillId="0" borderId="9" xfId="0" applyNumberFormat="1" applyFont="1" applyBorder="1" applyAlignment="1">
      <alignment horizontal="center"/>
    </xf>
    <xf numFmtId="0" fontId="5" fillId="0" borderId="9" xfId="0" applyFont="1" applyBorder="1"/>
    <xf numFmtId="4" fontId="5" fillId="0" borderId="9" xfId="0" applyNumberFormat="1" applyFont="1" applyBorder="1"/>
    <xf numFmtId="4" fontId="4" fillId="0" borderId="9" xfId="0" applyNumberFormat="1" applyFont="1" applyBorder="1" applyAlignment="1">
      <alignment horizontal="right"/>
    </xf>
    <xf numFmtId="0" fontId="4" fillId="7" borderId="9" xfId="0" applyFont="1" applyFill="1" applyBorder="1" applyAlignment="1">
      <alignment horizontal="right"/>
    </xf>
    <xf numFmtId="0" fontId="5" fillId="4" borderId="10" xfId="1" applyFont="1" applyFill="1" applyBorder="1" applyAlignment="1">
      <alignment horizontal="center"/>
    </xf>
    <xf numFmtId="0" fontId="5" fillId="4" borderId="11" xfId="1" applyFont="1" applyFill="1" applyBorder="1" applyAlignment="1">
      <alignment horizontal="left"/>
    </xf>
    <xf numFmtId="0" fontId="5" fillId="4" borderId="11" xfId="1" applyFont="1" applyFill="1" applyBorder="1" applyAlignment="1">
      <alignment horizontal="center"/>
    </xf>
    <xf numFmtId="14" fontId="5" fillId="4" borderId="11" xfId="1" applyNumberFormat="1" applyFont="1" applyFill="1" applyBorder="1" applyAlignment="1">
      <alignment horizontal="center"/>
    </xf>
    <xf numFmtId="0" fontId="5" fillId="4" borderId="12" xfId="1" applyFont="1" applyFill="1" applyBorder="1" applyAlignment="1">
      <alignment horizontal="center"/>
    </xf>
    <xf numFmtId="0" fontId="5" fillId="4" borderId="16" xfId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 wrapText="1"/>
    </xf>
    <xf numFmtId="0" fontId="4" fillId="0" borderId="9" xfId="0" applyFont="1" applyBorder="1" applyAlignment="1">
      <alignment horizontal="left" wrapText="1"/>
    </xf>
    <xf numFmtId="4" fontId="5" fillId="0" borderId="11" xfId="0" applyNumberFormat="1" applyFont="1" applyBorder="1"/>
    <xf numFmtId="14" fontId="5" fillId="0" borderId="11" xfId="0" applyNumberFormat="1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8" xfId="0" applyFont="1" applyBorder="1" applyAlignment="1">
      <alignment horizontal="right"/>
    </xf>
    <xf numFmtId="4" fontId="7" fillId="0" borderId="23" xfId="0" applyNumberFormat="1" applyFont="1" applyBorder="1" applyAlignment="1">
      <alignment horizontal="right"/>
    </xf>
    <xf numFmtId="17" fontId="4" fillId="3" borderId="16" xfId="0" applyNumberFormat="1" applyFont="1" applyFill="1" applyBorder="1"/>
    <xf numFmtId="2" fontId="4" fillId="0" borderId="16" xfId="0" applyNumberFormat="1" applyFont="1" applyBorder="1" applyAlignment="1">
      <alignment horizontal="center" wrapText="1"/>
    </xf>
    <xf numFmtId="14" fontId="4" fillId="3" borderId="10" xfId="0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right"/>
    </xf>
    <xf numFmtId="0" fontId="5" fillId="0" borderId="11" xfId="0" applyFont="1" applyBorder="1"/>
    <xf numFmtId="17" fontId="4" fillId="3" borderId="28" xfId="0" applyNumberFormat="1" applyFont="1" applyFill="1" applyBorder="1" applyAlignment="1">
      <alignment vertical="center"/>
    </xf>
    <xf numFmtId="14" fontId="4" fillId="3" borderId="28" xfId="0" applyNumberFormat="1" applyFont="1" applyFill="1" applyBorder="1" applyAlignment="1">
      <alignment horizontal="center" vertical="center"/>
    </xf>
    <xf numFmtId="4" fontId="4" fillId="0" borderId="14" xfId="0" applyNumberFormat="1" applyFont="1" applyBorder="1" applyAlignment="1">
      <alignment horizontal="right" vertical="center"/>
    </xf>
    <xf numFmtId="4" fontId="5" fillId="0" borderId="9" xfId="0" applyNumberFormat="1" applyFont="1" applyBorder="1" applyAlignment="1">
      <alignment horizontal="right" wrapText="1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right" wrapText="1"/>
    </xf>
    <xf numFmtId="0" fontId="4" fillId="0" borderId="9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/>
    </xf>
    <xf numFmtId="0" fontId="4" fillId="0" borderId="9" xfId="0" applyFont="1" applyBorder="1" applyAlignment="1">
      <alignment horizontal="right" vertical="center"/>
    </xf>
    <xf numFmtId="0" fontId="4" fillId="7" borderId="9" xfId="0" applyFont="1" applyFill="1" applyBorder="1" applyAlignment="1">
      <alignment horizontal="left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0" fontId="4" fillId="6" borderId="17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12" fillId="0" borderId="0" xfId="0" applyFont="1"/>
    <xf numFmtId="0" fontId="11" fillId="4" borderId="9" xfId="1" applyFont="1" applyFill="1" applyBorder="1" applyAlignment="1">
      <alignment horizontal="center"/>
    </xf>
    <xf numFmtId="14" fontId="11" fillId="4" borderId="9" xfId="1" applyNumberFormat="1" applyFont="1" applyFill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4" borderId="9" xfId="2" applyFont="1" applyFill="1" applyBorder="1" applyAlignment="1">
      <alignment horizontal="center"/>
    </xf>
    <xf numFmtId="14" fontId="11" fillId="4" borderId="9" xfId="2" applyNumberFormat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0" fillId="0" borderId="9" xfId="0" applyFont="1" applyBorder="1" applyAlignment="1">
      <alignment horizontal="center" wrapText="1"/>
    </xf>
    <xf numFmtId="0" fontId="1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2" fillId="0" borderId="9" xfId="0" applyFont="1" applyBorder="1" applyAlignment="1">
      <alignment horizontal="center"/>
    </xf>
    <xf numFmtId="1" fontId="10" fillId="0" borderId="9" xfId="0" applyNumberFormat="1" applyFont="1" applyBorder="1" applyAlignment="1">
      <alignment horizontal="center" wrapText="1"/>
    </xf>
    <xf numFmtId="1" fontId="10" fillId="0" borderId="9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1" fontId="11" fillId="4" borderId="9" xfId="2" applyNumberFormat="1" applyFont="1" applyFill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 wrapText="1"/>
    </xf>
    <xf numFmtId="1" fontId="12" fillId="0" borderId="9" xfId="0" applyNumberFormat="1" applyFont="1" applyBorder="1" applyAlignment="1">
      <alignment horizontal="center" vertic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908F-A429-4073-ACA2-4295BC39A90D}">
  <dimension ref="A1:N201"/>
  <sheetViews>
    <sheetView tabSelected="1" zoomScale="69" zoomScaleNormal="100" workbookViewId="0">
      <selection activeCell="A8" sqref="A8"/>
    </sheetView>
  </sheetViews>
  <sheetFormatPr defaultRowHeight="18" x14ac:dyDescent="0.35"/>
  <cols>
    <col min="1" max="1" width="35.88671875" style="114" customWidth="1"/>
    <col min="2" max="2" width="22.109375" style="114" customWidth="1"/>
    <col min="3" max="3" width="19.6640625" style="114" customWidth="1"/>
    <col min="4" max="4" width="18.33203125" style="114" customWidth="1"/>
    <col min="5" max="5" width="17.88671875" style="124" customWidth="1"/>
    <col min="6" max="6" width="22.109375" style="124" customWidth="1"/>
    <col min="7" max="8" width="19.6640625" style="124" customWidth="1"/>
    <col min="9" max="9" width="20.88671875" style="114" customWidth="1"/>
    <col min="10" max="10" width="20.6640625" style="114" customWidth="1"/>
    <col min="11" max="11" width="21.5546875" style="114" customWidth="1"/>
    <col min="12" max="12" width="20.6640625" style="116" customWidth="1"/>
    <col min="13" max="16384" width="8.88671875" style="103"/>
  </cols>
  <sheetData>
    <row r="1" spans="1:12" ht="39.9" customHeight="1" x14ac:dyDescent="0.35">
      <c r="A1" s="113" t="s">
        <v>1</v>
      </c>
      <c r="B1" s="113" t="s">
        <v>2</v>
      </c>
      <c r="C1" s="113" t="s">
        <v>3</v>
      </c>
      <c r="D1" s="113" t="s">
        <v>4</v>
      </c>
      <c r="E1" s="117" t="s">
        <v>112</v>
      </c>
      <c r="F1" s="117" t="s">
        <v>6</v>
      </c>
      <c r="G1" s="117" t="s">
        <v>7</v>
      </c>
      <c r="H1" s="118" t="s">
        <v>8</v>
      </c>
      <c r="I1" s="113" t="s">
        <v>9</v>
      </c>
      <c r="J1" s="113" t="s">
        <v>10</v>
      </c>
      <c r="K1" s="113" t="s">
        <v>11</v>
      </c>
      <c r="L1" s="113" t="s">
        <v>513</v>
      </c>
    </row>
    <row r="2" spans="1:12" ht="39.9" customHeight="1" x14ac:dyDescent="0.35">
      <c r="A2" s="104" t="s">
        <v>113</v>
      </c>
      <c r="B2" s="104" t="s">
        <v>176</v>
      </c>
      <c r="C2" s="105">
        <v>45392</v>
      </c>
      <c r="D2" s="105">
        <v>45971</v>
      </c>
      <c r="E2" s="119">
        <v>5000</v>
      </c>
      <c r="F2" s="119">
        <v>87500</v>
      </c>
      <c r="G2" s="119">
        <v>80525</v>
      </c>
      <c r="H2" s="119">
        <f>F2-G2</f>
        <v>6975</v>
      </c>
      <c r="I2" s="106">
        <v>45944</v>
      </c>
      <c r="J2" s="107">
        <v>9940812283</v>
      </c>
      <c r="K2" s="104" t="s">
        <v>14</v>
      </c>
      <c r="L2" s="107" t="s">
        <v>514</v>
      </c>
    </row>
    <row r="3" spans="1:12" ht="39.9" customHeight="1" x14ac:dyDescent="0.35">
      <c r="A3" s="104" t="s">
        <v>114</v>
      </c>
      <c r="B3" s="104" t="s">
        <v>115</v>
      </c>
      <c r="C3" s="105">
        <v>45422</v>
      </c>
      <c r="D3" s="105">
        <v>46001</v>
      </c>
      <c r="E3" s="119">
        <v>9900</v>
      </c>
      <c r="F3" s="119">
        <v>165000</v>
      </c>
      <c r="G3" s="119">
        <v>155100</v>
      </c>
      <c r="H3" s="119">
        <v>9900</v>
      </c>
      <c r="I3" s="106">
        <v>45946</v>
      </c>
      <c r="J3" s="107">
        <v>7667630898</v>
      </c>
      <c r="K3" s="104" t="s">
        <v>17</v>
      </c>
      <c r="L3" s="107" t="s">
        <v>514</v>
      </c>
    </row>
    <row r="4" spans="1:12" ht="39.9" customHeight="1" x14ac:dyDescent="0.35">
      <c r="A4" s="104" t="s">
        <v>116</v>
      </c>
      <c r="B4" s="104" t="s">
        <v>117</v>
      </c>
      <c r="C4" s="105">
        <v>45422</v>
      </c>
      <c r="D4" s="105">
        <v>46001</v>
      </c>
      <c r="E4" s="119">
        <v>24750</v>
      </c>
      <c r="F4" s="119">
        <v>412500</v>
      </c>
      <c r="G4" s="119">
        <v>365000</v>
      </c>
      <c r="H4" s="119">
        <v>47500</v>
      </c>
      <c r="I4" s="106">
        <v>45974</v>
      </c>
      <c r="J4" s="104">
        <v>8838428286</v>
      </c>
      <c r="K4" s="104" t="s">
        <v>17</v>
      </c>
      <c r="L4" s="107" t="s">
        <v>514</v>
      </c>
    </row>
    <row r="5" spans="1:12" ht="39.9" customHeight="1" x14ac:dyDescent="0.35">
      <c r="A5" s="104" t="s">
        <v>118</v>
      </c>
      <c r="B5" s="104" t="s">
        <v>119</v>
      </c>
      <c r="C5" s="105">
        <v>45453</v>
      </c>
      <c r="D5" s="105">
        <v>46032</v>
      </c>
      <c r="E5" s="119">
        <v>24250</v>
      </c>
      <c r="F5" s="119">
        <v>387750</v>
      </c>
      <c r="G5" s="119">
        <v>387750</v>
      </c>
      <c r="H5" s="119">
        <v>0</v>
      </c>
      <c r="I5" s="106">
        <v>45974</v>
      </c>
      <c r="J5" s="104">
        <v>9965994197</v>
      </c>
      <c r="K5" s="104" t="s">
        <v>17</v>
      </c>
      <c r="L5" s="107" t="s">
        <v>514</v>
      </c>
    </row>
    <row r="6" spans="1:12" ht="39.9" customHeight="1" x14ac:dyDescent="0.35">
      <c r="A6" s="104" t="s">
        <v>120</v>
      </c>
      <c r="B6" s="104" t="s">
        <v>121</v>
      </c>
      <c r="C6" s="105">
        <v>45453</v>
      </c>
      <c r="D6" s="105">
        <v>46032</v>
      </c>
      <c r="E6" s="119">
        <v>14550</v>
      </c>
      <c r="F6" s="119">
        <v>232650</v>
      </c>
      <c r="G6" s="119">
        <v>218100</v>
      </c>
      <c r="H6" s="119">
        <v>14550</v>
      </c>
      <c r="I6" s="106">
        <v>45964</v>
      </c>
      <c r="J6" s="104">
        <v>9962094445</v>
      </c>
      <c r="K6" s="104" t="s">
        <v>17</v>
      </c>
      <c r="L6" s="107" t="s">
        <v>514</v>
      </c>
    </row>
    <row r="7" spans="1:12" ht="39.9" customHeight="1" x14ac:dyDescent="0.35">
      <c r="A7" s="104" t="s">
        <v>122</v>
      </c>
      <c r="B7" s="104" t="s">
        <v>123</v>
      </c>
      <c r="C7" s="105">
        <v>45453</v>
      </c>
      <c r="D7" s="105">
        <v>46032</v>
      </c>
      <c r="E7" s="119">
        <v>4850</v>
      </c>
      <c r="F7" s="119">
        <v>77550</v>
      </c>
      <c r="G7" s="119">
        <v>77550</v>
      </c>
      <c r="H7" s="119">
        <v>0</v>
      </c>
      <c r="I7" s="106">
        <v>45965</v>
      </c>
      <c r="J7" s="104">
        <v>9942668264</v>
      </c>
      <c r="K7" s="104" t="s">
        <v>17</v>
      </c>
      <c r="L7" s="107" t="s">
        <v>514</v>
      </c>
    </row>
    <row r="8" spans="1:12" ht="39.9" customHeight="1" x14ac:dyDescent="0.35">
      <c r="A8" s="104" t="s">
        <v>124</v>
      </c>
      <c r="B8" s="104" t="s">
        <v>125</v>
      </c>
      <c r="C8" s="105">
        <v>45483</v>
      </c>
      <c r="D8" s="105">
        <v>46063</v>
      </c>
      <c r="E8" s="119">
        <v>4800</v>
      </c>
      <c r="F8" s="119">
        <v>72700</v>
      </c>
      <c r="G8" s="119">
        <v>68050</v>
      </c>
      <c r="H8" s="119">
        <v>4650</v>
      </c>
      <c r="I8" s="106">
        <v>45953</v>
      </c>
      <c r="J8" s="104">
        <v>9597371111</v>
      </c>
      <c r="K8" s="104" t="s">
        <v>28</v>
      </c>
      <c r="L8" s="107" t="s">
        <v>514</v>
      </c>
    </row>
    <row r="9" spans="1:12" ht="39.9" customHeight="1" x14ac:dyDescent="0.35">
      <c r="A9" s="104" t="s">
        <v>126</v>
      </c>
      <c r="B9" s="104" t="s">
        <v>127</v>
      </c>
      <c r="C9" s="105">
        <v>45483</v>
      </c>
      <c r="D9" s="105">
        <v>46063</v>
      </c>
      <c r="E9" s="119">
        <v>4800</v>
      </c>
      <c r="F9" s="119">
        <v>72700</v>
      </c>
      <c r="G9" s="119">
        <v>72700</v>
      </c>
      <c r="H9" s="119">
        <v>0</v>
      </c>
      <c r="I9" s="106">
        <v>45988</v>
      </c>
      <c r="J9" s="104">
        <v>9843517476</v>
      </c>
      <c r="K9" s="104" t="s">
        <v>28</v>
      </c>
      <c r="L9" s="107" t="s">
        <v>514</v>
      </c>
    </row>
    <row r="10" spans="1:12" ht="39.9" customHeight="1" x14ac:dyDescent="0.35">
      <c r="A10" s="104" t="s">
        <v>128</v>
      </c>
      <c r="B10" s="104" t="s">
        <v>129</v>
      </c>
      <c r="C10" s="105">
        <v>45453</v>
      </c>
      <c r="D10" s="105">
        <v>46032</v>
      </c>
      <c r="E10" s="119">
        <v>121250</v>
      </c>
      <c r="F10" s="119">
        <v>1938750</v>
      </c>
      <c r="G10" s="119">
        <v>1938750</v>
      </c>
      <c r="H10" s="119">
        <v>0</v>
      </c>
      <c r="I10" s="106">
        <v>45975</v>
      </c>
      <c r="J10" s="104">
        <v>8144447766</v>
      </c>
      <c r="K10" s="104" t="s">
        <v>28</v>
      </c>
      <c r="L10" s="107" t="s">
        <v>514</v>
      </c>
    </row>
    <row r="11" spans="1:12" ht="39.9" customHeight="1" x14ac:dyDescent="0.35">
      <c r="A11" s="104" t="s">
        <v>130</v>
      </c>
      <c r="B11" s="104" t="s">
        <v>131</v>
      </c>
      <c r="C11" s="105">
        <v>45636</v>
      </c>
      <c r="D11" s="105">
        <v>46213</v>
      </c>
      <c r="E11" s="119">
        <v>4300</v>
      </c>
      <c r="F11" s="119">
        <v>49825</v>
      </c>
      <c r="G11" s="119">
        <v>45525</v>
      </c>
      <c r="H11" s="119">
        <v>4300</v>
      </c>
      <c r="I11" s="106">
        <v>45947</v>
      </c>
      <c r="J11" s="104">
        <v>7373580737</v>
      </c>
      <c r="K11" s="104" t="s">
        <v>17</v>
      </c>
      <c r="L11" s="107" t="s">
        <v>514</v>
      </c>
    </row>
    <row r="12" spans="1:12" ht="39.9" customHeight="1" x14ac:dyDescent="0.35">
      <c r="A12" s="104" t="s">
        <v>132</v>
      </c>
      <c r="B12" s="104" t="s">
        <v>133</v>
      </c>
      <c r="C12" s="105">
        <v>45545</v>
      </c>
      <c r="D12" s="105">
        <v>46122</v>
      </c>
      <c r="E12" s="119">
        <v>22750</v>
      </c>
      <c r="F12" s="119">
        <v>316250</v>
      </c>
      <c r="G12" s="119">
        <v>316250</v>
      </c>
      <c r="H12" s="119">
        <v>0</v>
      </c>
      <c r="I12" s="106">
        <v>45992</v>
      </c>
      <c r="J12" s="104">
        <v>9944114433</v>
      </c>
      <c r="K12" s="104" t="s">
        <v>28</v>
      </c>
      <c r="L12" s="107" t="s">
        <v>514</v>
      </c>
    </row>
    <row r="13" spans="1:12" ht="39.9" customHeight="1" x14ac:dyDescent="0.35">
      <c r="A13" s="104" t="s">
        <v>134</v>
      </c>
      <c r="B13" s="104" t="s">
        <v>135</v>
      </c>
      <c r="C13" s="105">
        <v>45575</v>
      </c>
      <c r="D13" s="105">
        <v>46152</v>
      </c>
      <c r="E13" s="119">
        <v>44750</v>
      </c>
      <c r="F13" s="119">
        <v>587000</v>
      </c>
      <c r="G13" s="119">
        <v>413000</v>
      </c>
      <c r="H13" s="119">
        <v>174000</v>
      </c>
      <c r="I13" s="106">
        <v>45855</v>
      </c>
      <c r="J13" s="104">
        <v>8144447766</v>
      </c>
      <c r="K13" s="104" t="s">
        <v>28</v>
      </c>
      <c r="L13" s="107" t="s">
        <v>514</v>
      </c>
    </row>
    <row r="14" spans="1:12" ht="39.9" customHeight="1" x14ac:dyDescent="0.35">
      <c r="A14" s="104" t="s">
        <v>136</v>
      </c>
      <c r="B14" s="104" t="s">
        <v>137</v>
      </c>
      <c r="C14" s="105">
        <v>45514</v>
      </c>
      <c r="D14" s="105">
        <v>46091</v>
      </c>
      <c r="E14" s="119">
        <v>9300</v>
      </c>
      <c r="F14" s="119">
        <v>135800</v>
      </c>
      <c r="G14" s="119">
        <v>135800</v>
      </c>
      <c r="H14" s="119">
        <v>0</v>
      </c>
      <c r="I14" s="106">
        <v>45976</v>
      </c>
      <c r="J14" s="104">
        <v>9543530652</v>
      </c>
      <c r="K14" s="104" t="s">
        <v>28</v>
      </c>
      <c r="L14" s="107" t="s">
        <v>514</v>
      </c>
    </row>
    <row r="15" spans="1:12" ht="39.9" customHeight="1" x14ac:dyDescent="0.35">
      <c r="A15" s="107" t="s">
        <v>138</v>
      </c>
      <c r="B15" s="104" t="s">
        <v>139</v>
      </c>
      <c r="C15" s="105">
        <v>45392</v>
      </c>
      <c r="D15" s="105">
        <v>45971</v>
      </c>
      <c r="E15" s="119">
        <v>25000</v>
      </c>
      <c r="F15" s="119">
        <v>437500</v>
      </c>
      <c r="G15" s="119">
        <v>437500</v>
      </c>
      <c r="H15" s="119">
        <v>0</v>
      </c>
      <c r="I15" s="106">
        <v>45915</v>
      </c>
      <c r="J15" s="104">
        <v>9597371111</v>
      </c>
      <c r="K15" s="104" t="s">
        <v>28</v>
      </c>
      <c r="L15" s="107" t="s">
        <v>514</v>
      </c>
    </row>
    <row r="16" spans="1:12" ht="39.9" customHeight="1" x14ac:dyDescent="0.35">
      <c r="A16" s="107" t="s">
        <v>39</v>
      </c>
      <c r="B16" s="104" t="s">
        <v>140</v>
      </c>
      <c r="C16" s="105">
        <v>45392</v>
      </c>
      <c r="D16" s="105">
        <v>45971</v>
      </c>
      <c r="E16" s="119">
        <v>25000</v>
      </c>
      <c r="F16" s="119">
        <v>437500</v>
      </c>
      <c r="G16" s="119">
        <v>437500</v>
      </c>
      <c r="H16" s="119">
        <v>0</v>
      </c>
      <c r="I16" s="106">
        <v>45915</v>
      </c>
      <c r="J16" s="104">
        <v>9597371111</v>
      </c>
      <c r="K16" s="104" t="s">
        <v>28</v>
      </c>
      <c r="L16" s="107" t="s">
        <v>514</v>
      </c>
    </row>
    <row r="17" spans="1:12" ht="39.9" customHeight="1" x14ac:dyDescent="0.35">
      <c r="A17" s="104" t="s">
        <v>62</v>
      </c>
      <c r="B17" s="104" t="s">
        <v>141</v>
      </c>
      <c r="C17" s="105">
        <v>45432</v>
      </c>
      <c r="D17" s="105">
        <v>46011</v>
      </c>
      <c r="E17" s="119">
        <v>4950</v>
      </c>
      <c r="F17" s="119">
        <v>82500</v>
      </c>
      <c r="G17" s="119">
        <v>73250</v>
      </c>
      <c r="H17" s="119">
        <v>9250</v>
      </c>
      <c r="I17" s="106">
        <v>45941</v>
      </c>
      <c r="J17" s="104">
        <v>9843700987</v>
      </c>
      <c r="K17" s="104" t="s">
        <v>17</v>
      </c>
      <c r="L17" s="107" t="s">
        <v>514</v>
      </c>
    </row>
    <row r="18" spans="1:12" ht="39.9" customHeight="1" x14ac:dyDescent="0.35">
      <c r="A18" s="104" t="s">
        <v>142</v>
      </c>
      <c r="B18" s="104" t="s">
        <v>143</v>
      </c>
      <c r="C18" s="105">
        <v>45392</v>
      </c>
      <c r="D18" s="105">
        <v>45971</v>
      </c>
      <c r="E18" s="119">
        <v>25000</v>
      </c>
      <c r="F18" s="119">
        <v>437500</v>
      </c>
      <c r="G18" s="119">
        <v>148500</v>
      </c>
      <c r="H18" s="119">
        <v>264000</v>
      </c>
      <c r="I18" s="106">
        <v>45825</v>
      </c>
      <c r="J18" s="104">
        <v>7339295026</v>
      </c>
      <c r="K18" s="104" t="s">
        <v>14</v>
      </c>
      <c r="L18" s="107" t="s">
        <v>514</v>
      </c>
    </row>
    <row r="19" spans="1:12" ht="39.9" customHeight="1" x14ac:dyDescent="0.35">
      <c r="A19" s="104" t="s">
        <v>144</v>
      </c>
      <c r="B19" s="104" t="s">
        <v>145</v>
      </c>
      <c r="C19" s="105">
        <v>45392</v>
      </c>
      <c r="D19" s="105">
        <v>45971</v>
      </c>
      <c r="E19" s="119">
        <v>25000</v>
      </c>
      <c r="F19" s="119">
        <v>437500</v>
      </c>
      <c r="G19" s="119">
        <v>165000</v>
      </c>
      <c r="H19" s="119">
        <v>247500</v>
      </c>
      <c r="I19" s="106">
        <v>45608</v>
      </c>
      <c r="J19" s="104">
        <v>9344594337</v>
      </c>
      <c r="K19" s="104" t="s">
        <v>14</v>
      </c>
      <c r="L19" s="107" t="s">
        <v>514</v>
      </c>
    </row>
    <row r="20" spans="1:12" ht="39.9" customHeight="1" x14ac:dyDescent="0.35">
      <c r="A20" s="104" t="s">
        <v>144</v>
      </c>
      <c r="B20" s="104" t="s">
        <v>146</v>
      </c>
      <c r="C20" s="105">
        <v>45392</v>
      </c>
      <c r="D20" s="105">
        <v>45971</v>
      </c>
      <c r="E20" s="119">
        <v>50000</v>
      </c>
      <c r="F20" s="119">
        <v>875000</v>
      </c>
      <c r="G20" s="119">
        <v>130000</v>
      </c>
      <c r="H20" s="119">
        <f>F20-G20</f>
        <v>745000</v>
      </c>
      <c r="I20" s="106">
        <v>45608</v>
      </c>
      <c r="J20" s="104">
        <v>9344594337</v>
      </c>
      <c r="K20" s="104" t="s">
        <v>14</v>
      </c>
      <c r="L20" s="107" t="s">
        <v>514</v>
      </c>
    </row>
    <row r="21" spans="1:12" ht="39.9" customHeight="1" x14ac:dyDescent="0.35">
      <c r="A21" s="104" t="s">
        <v>147</v>
      </c>
      <c r="B21" s="104" t="s">
        <v>148</v>
      </c>
      <c r="C21" s="105">
        <v>45402</v>
      </c>
      <c r="D21" s="105">
        <v>45981</v>
      </c>
      <c r="E21" s="119">
        <v>9900</v>
      </c>
      <c r="F21" s="119">
        <v>165000</v>
      </c>
      <c r="G21" s="119">
        <v>127000</v>
      </c>
      <c r="H21" s="119">
        <v>48000</v>
      </c>
      <c r="I21" s="106">
        <v>45936</v>
      </c>
      <c r="J21" s="104">
        <v>9345455550</v>
      </c>
      <c r="K21" s="104" t="s">
        <v>14</v>
      </c>
      <c r="L21" s="107" t="s">
        <v>514</v>
      </c>
    </row>
    <row r="22" spans="1:12" ht="39.9" customHeight="1" x14ac:dyDescent="0.35">
      <c r="A22" s="104" t="s">
        <v>149</v>
      </c>
      <c r="B22" s="104" t="s">
        <v>150</v>
      </c>
      <c r="C22" s="105">
        <v>45422</v>
      </c>
      <c r="D22" s="105">
        <v>46001</v>
      </c>
      <c r="E22" s="119">
        <v>4950</v>
      </c>
      <c r="F22" s="119">
        <v>82500</v>
      </c>
      <c r="G22" s="119">
        <v>26000</v>
      </c>
      <c r="H22" s="119">
        <v>56500</v>
      </c>
      <c r="I22" s="106">
        <v>45727</v>
      </c>
      <c r="J22" s="104">
        <v>9514588127</v>
      </c>
      <c r="K22" s="104" t="s">
        <v>14</v>
      </c>
      <c r="L22" s="107" t="s">
        <v>514</v>
      </c>
    </row>
    <row r="23" spans="1:12" ht="39.9" customHeight="1" x14ac:dyDescent="0.35">
      <c r="A23" s="104" t="s">
        <v>151</v>
      </c>
      <c r="B23" s="104" t="s">
        <v>152</v>
      </c>
      <c r="C23" s="105">
        <v>45483</v>
      </c>
      <c r="D23" s="105">
        <v>46063</v>
      </c>
      <c r="E23" s="119">
        <v>4800</v>
      </c>
      <c r="F23" s="119">
        <v>72700</v>
      </c>
      <c r="G23" s="119">
        <v>72700</v>
      </c>
      <c r="H23" s="119">
        <v>0</v>
      </c>
      <c r="I23" s="106">
        <v>45971</v>
      </c>
      <c r="J23" s="104">
        <v>6379183331</v>
      </c>
      <c r="K23" s="104" t="s">
        <v>28</v>
      </c>
      <c r="L23" s="107" t="s">
        <v>514</v>
      </c>
    </row>
    <row r="24" spans="1:12" ht="39.9" customHeight="1" x14ac:dyDescent="0.35">
      <c r="A24" s="104" t="s">
        <v>153</v>
      </c>
      <c r="B24" s="104" t="s">
        <v>154</v>
      </c>
      <c r="C24" s="105">
        <v>45483</v>
      </c>
      <c r="D24" s="105">
        <v>46063</v>
      </c>
      <c r="E24" s="119">
        <v>4800</v>
      </c>
      <c r="F24" s="119">
        <v>72700</v>
      </c>
      <c r="G24" s="119">
        <v>47050</v>
      </c>
      <c r="H24" s="119">
        <v>25650</v>
      </c>
      <c r="I24" s="106">
        <v>45966</v>
      </c>
      <c r="J24" s="104">
        <v>9344970951</v>
      </c>
      <c r="K24" s="104" t="s">
        <v>85</v>
      </c>
      <c r="L24" s="107" t="s">
        <v>514</v>
      </c>
    </row>
    <row r="25" spans="1:12" ht="39.9" customHeight="1" x14ac:dyDescent="0.35">
      <c r="A25" s="108" t="s">
        <v>155</v>
      </c>
      <c r="B25" s="108" t="s">
        <v>156</v>
      </c>
      <c r="C25" s="109">
        <v>45342</v>
      </c>
      <c r="D25" s="109">
        <v>45920</v>
      </c>
      <c r="E25" s="120">
        <v>50000</v>
      </c>
      <c r="F25" s="120">
        <v>875000</v>
      </c>
      <c r="G25" s="120">
        <v>331700</v>
      </c>
      <c r="H25" s="120">
        <f>F25-G25</f>
        <v>543300</v>
      </c>
      <c r="I25" s="109">
        <v>45790</v>
      </c>
      <c r="J25" s="108">
        <v>9940381378</v>
      </c>
      <c r="K25" s="108" t="s">
        <v>14</v>
      </c>
      <c r="L25" s="107" t="s">
        <v>514</v>
      </c>
    </row>
    <row r="26" spans="1:12" ht="39.9" customHeight="1" x14ac:dyDescent="0.35">
      <c r="A26" s="104" t="s">
        <v>157</v>
      </c>
      <c r="B26" s="104" t="s">
        <v>158</v>
      </c>
      <c r="C26" s="105">
        <v>45545</v>
      </c>
      <c r="D26" s="105">
        <v>46122</v>
      </c>
      <c r="E26" s="119">
        <v>22750</v>
      </c>
      <c r="F26" s="119">
        <v>316250</v>
      </c>
      <c r="G26" s="119">
        <v>277625</v>
      </c>
      <c r="H26" s="119">
        <v>38625</v>
      </c>
      <c r="I26" s="106">
        <v>45983</v>
      </c>
      <c r="J26" s="104">
        <v>9095571777</v>
      </c>
      <c r="K26" s="104" t="s">
        <v>28</v>
      </c>
      <c r="L26" s="107" t="s">
        <v>514</v>
      </c>
    </row>
    <row r="27" spans="1:12" ht="39.9" customHeight="1" x14ac:dyDescent="0.35">
      <c r="A27" s="104" t="s">
        <v>82</v>
      </c>
      <c r="B27" s="104" t="s">
        <v>159</v>
      </c>
      <c r="C27" s="105">
        <v>45392</v>
      </c>
      <c r="D27" s="105">
        <v>45971</v>
      </c>
      <c r="E27" s="119">
        <v>25000</v>
      </c>
      <c r="F27" s="119">
        <v>437500</v>
      </c>
      <c r="G27" s="119">
        <v>316500</v>
      </c>
      <c r="H27" s="119">
        <f>F27-G27</f>
        <v>121000</v>
      </c>
      <c r="I27" s="106">
        <v>45691</v>
      </c>
      <c r="J27" s="104">
        <v>9894073616</v>
      </c>
      <c r="K27" s="104" t="s">
        <v>14</v>
      </c>
      <c r="L27" s="107" t="s">
        <v>514</v>
      </c>
    </row>
    <row r="28" spans="1:12" ht="39.9" customHeight="1" x14ac:dyDescent="0.35">
      <c r="A28" s="108" t="s">
        <v>160</v>
      </c>
      <c r="B28" s="108" t="s">
        <v>161</v>
      </c>
      <c r="C28" s="109">
        <v>45311</v>
      </c>
      <c r="D28" s="109">
        <v>45889</v>
      </c>
      <c r="E28" s="120">
        <v>50000</v>
      </c>
      <c r="F28" s="120">
        <v>875000</v>
      </c>
      <c r="G28" s="120">
        <v>532000</v>
      </c>
      <c r="H28" s="120">
        <f>F28-G28</f>
        <v>343000</v>
      </c>
      <c r="I28" s="109">
        <v>45831</v>
      </c>
      <c r="J28" s="108">
        <v>8667578828</v>
      </c>
      <c r="K28" s="108" t="s">
        <v>14</v>
      </c>
      <c r="L28" s="107" t="s">
        <v>514</v>
      </c>
    </row>
    <row r="29" spans="1:12" ht="39.9" customHeight="1" x14ac:dyDescent="0.35">
      <c r="A29" s="104" t="s">
        <v>162</v>
      </c>
      <c r="B29" s="104" t="s">
        <v>163</v>
      </c>
      <c r="C29" s="105">
        <v>45422</v>
      </c>
      <c r="D29" s="105">
        <v>46001</v>
      </c>
      <c r="E29" s="119">
        <v>24750</v>
      </c>
      <c r="F29" s="119">
        <v>412500</v>
      </c>
      <c r="G29" s="119">
        <v>363500</v>
      </c>
      <c r="H29" s="119">
        <f>F29-G29</f>
        <v>49000</v>
      </c>
      <c r="I29" s="106">
        <v>45990</v>
      </c>
      <c r="J29" s="104">
        <v>9842609523</v>
      </c>
      <c r="K29" s="104" t="s">
        <v>17</v>
      </c>
      <c r="L29" s="107" t="s">
        <v>514</v>
      </c>
    </row>
    <row r="30" spans="1:12" ht="39.9" customHeight="1" x14ac:dyDescent="0.35">
      <c r="A30" s="104" t="s">
        <v>164</v>
      </c>
      <c r="B30" s="104" t="s">
        <v>165</v>
      </c>
      <c r="C30" s="105">
        <v>45392</v>
      </c>
      <c r="D30" s="105">
        <v>45971</v>
      </c>
      <c r="E30" s="119">
        <v>5000</v>
      </c>
      <c r="F30" s="119">
        <v>87500</v>
      </c>
      <c r="G30" s="119">
        <v>67650</v>
      </c>
      <c r="H30" s="119">
        <f>F30-G30</f>
        <v>19850</v>
      </c>
      <c r="I30" s="106" t="s">
        <v>511</v>
      </c>
      <c r="J30" s="104">
        <v>9842061419</v>
      </c>
      <c r="K30" s="104" t="s">
        <v>85</v>
      </c>
      <c r="L30" s="107" t="s">
        <v>514</v>
      </c>
    </row>
    <row r="31" spans="1:12" ht="39.9" customHeight="1" x14ac:dyDescent="0.35">
      <c r="A31" s="104" t="s">
        <v>166</v>
      </c>
      <c r="B31" s="104" t="s">
        <v>167</v>
      </c>
      <c r="C31" s="105">
        <v>45392</v>
      </c>
      <c r="D31" s="105">
        <v>45971</v>
      </c>
      <c r="E31" s="119">
        <v>15000</v>
      </c>
      <c r="F31" s="119">
        <v>262500</v>
      </c>
      <c r="G31" s="119">
        <v>162675</v>
      </c>
      <c r="H31" s="119">
        <f>F31-G31</f>
        <v>99825</v>
      </c>
      <c r="I31" s="106">
        <v>45873</v>
      </c>
      <c r="J31" s="104">
        <v>9944248026</v>
      </c>
      <c r="K31" s="104" t="s">
        <v>85</v>
      </c>
      <c r="L31" s="107" t="s">
        <v>514</v>
      </c>
    </row>
    <row r="32" spans="1:12" s="110" customFormat="1" ht="39.9" customHeight="1" x14ac:dyDescent="0.35">
      <c r="A32" s="104" t="s">
        <v>120</v>
      </c>
      <c r="B32" s="104" t="s">
        <v>168</v>
      </c>
      <c r="C32" s="105">
        <v>45453</v>
      </c>
      <c r="D32" s="105">
        <v>46032</v>
      </c>
      <c r="E32" s="119">
        <v>9700</v>
      </c>
      <c r="F32" s="119">
        <v>155100</v>
      </c>
      <c r="G32" s="119">
        <v>145400</v>
      </c>
      <c r="H32" s="119">
        <v>9700</v>
      </c>
      <c r="I32" s="106">
        <v>45985</v>
      </c>
      <c r="J32" s="104">
        <v>9962094445</v>
      </c>
      <c r="K32" s="104" t="s">
        <v>17</v>
      </c>
      <c r="L32" s="107" t="s">
        <v>514</v>
      </c>
    </row>
    <row r="33" spans="1:12" s="110" customFormat="1" ht="39.9" customHeight="1" x14ac:dyDescent="0.35">
      <c r="A33" s="104" t="s">
        <v>169</v>
      </c>
      <c r="B33" s="104" t="s">
        <v>170</v>
      </c>
      <c r="C33" s="105">
        <v>45392</v>
      </c>
      <c r="D33" s="105">
        <v>45971</v>
      </c>
      <c r="E33" s="119">
        <v>50000</v>
      </c>
      <c r="F33" s="119">
        <v>875000</v>
      </c>
      <c r="G33" s="119">
        <v>763050</v>
      </c>
      <c r="H33" s="119">
        <f>F33-G33</f>
        <v>111950</v>
      </c>
      <c r="I33" s="106">
        <v>45828</v>
      </c>
      <c r="J33" s="104">
        <v>9865957425</v>
      </c>
      <c r="K33" s="104" t="s">
        <v>17</v>
      </c>
      <c r="L33" s="107" t="s">
        <v>514</v>
      </c>
    </row>
    <row r="34" spans="1:12" s="110" customFormat="1" ht="39.9" customHeight="1" x14ac:dyDescent="0.35">
      <c r="A34" s="107" t="s">
        <v>331</v>
      </c>
      <c r="B34" s="104" t="s">
        <v>330</v>
      </c>
      <c r="C34" s="106">
        <v>45698</v>
      </c>
      <c r="D34" s="106">
        <v>46275</v>
      </c>
      <c r="E34" s="119">
        <v>12450</v>
      </c>
      <c r="F34" s="119">
        <v>123900</v>
      </c>
      <c r="G34" s="119">
        <v>99300</v>
      </c>
      <c r="H34" s="119">
        <v>24600</v>
      </c>
      <c r="I34" s="106">
        <v>45972</v>
      </c>
      <c r="J34" s="107">
        <v>908004004</v>
      </c>
      <c r="K34" s="104" t="s">
        <v>14</v>
      </c>
      <c r="L34" s="107" t="s">
        <v>514</v>
      </c>
    </row>
    <row r="35" spans="1:12" s="110" customFormat="1" ht="39.9" customHeight="1" x14ac:dyDescent="0.35">
      <c r="A35" s="107" t="s">
        <v>57</v>
      </c>
      <c r="B35" s="104" t="s">
        <v>332</v>
      </c>
      <c r="C35" s="106">
        <v>45726</v>
      </c>
      <c r="D35" s="106">
        <v>46456</v>
      </c>
      <c r="E35" s="119">
        <v>3200</v>
      </c>
      <c r="F35" s="119">
        <v>29600</v>
      </c>
      <c r="G35" s="119">
        <v>29600</v>
      </c>
      <c r="H35" s="119">
        <v>0</v>
      </c>
      <c r="I35" s="106">
        <v>45943</v>
      </c>
      <c r="J35" s="107">
        <v>8870429843</v>
      </c>
      <c r="K35" s="104" t="s">
        <v>14</v>
      </c>
      <c r="L35" s="107" t="s">
        <v>514</v>
      </c>
    </row>
    <row r="36" spans="1:12" s="110" customFormat="1" ht="43.5" customHeight="1" x14ac:dyDescent="0.35">
      <c r="A36" s="104" t="s">
        <v>26</v>
      </c>
      <c r="B36" s="104" t="s">
        <v>27</v>
      </c>
      <c r="C36" s="105">
        <v>45483</v>
      </c>
      <c r="D36" s="105">
        <v>46063</v>
      </c>
      <c r="E36" s="119">
        <v>14400</v>
      </c>
      <c r="F36" s="119">
        <v>218100</v>
      </c>
      <c r="G36" s="119">
        <v>204150</v>
      </c>
      <c r="H36" s="119">
        <v>13950</v>
      </c>
      <c r="I36" s="106">
        <v>45976</v>
      </c>
      <c r="J36" s="104">
        <v>9600709503</v>
      </c>
      <c r="K36" s="104" t="s">
        <v>28</v>
      </c>
      <c r="L36" s="107" t="s">
        <v>514</v>
      </c>
    </row>
    <row r="37" spans="1:12" s="110" customFormat="1" ht="39.9" customHeight="1" x14ac:dyDescent="0.35">
      <c r="A37" s="104" t="s">
        <v>39</v>
      </c>
      <c r="B37" s="104" t="s">
        <v>40</v>
      </c>
      <c r="C37" s="105">
        <v>45667</v>
      </c>
      <c r="D37" s="105">
        <v>46244</v>
      </c>
      <c r="E37" s="119">
        <v>84500</v>
      </c>
      <c r="F37" s="119">
        <v>910500</v>
      </c>
      <c r="G37" s="119">
        <v>826000</v>
      </c>
      <c r="H37" s="119">
        <v>0</v>
      </c>
      <c r="I37" s="106">
        <v>45994</v>
      </c>
      <c r="J37" s="104">
        <v>9597371111</v>
      </c>
      <c r="K37" s="104" t="s">
        <v>17</v>
      </c>
      <c r="L37" s="107" t="s">
        <v>514</v>
      </c>
    </row>
    <row r="38" spans="1:12" s="110" customFormat="1" ht="39.9" customHeight="1" x14ac:dyDescent="0.35">
      <c r="A38" s="104" t="s">
        <v>171</v>
      </c>
      <c r="B38" s="104" t="s">
        <v>172</v>
      </c>
      <c r="C38" s="105">
        <v>45818</v>
      </c>
      <c r="D38" s="105">
        <v>46397</v>
      </c>
      <c r="E38" s="119">
        <v>9600</v>
      </c>
      <c r="F38" s="119">
        <v>60000</v>
      </c>
      <c r="G38" s="119">
        <v>60000</v>
      </c>
      <c r="H38" s="119">
        <v>0</v>
      </c>
      <c r="I38" s="106">
        <v>45967</v>
      </c>
      <c r="J38" s="104">
        <v>9789501710</v>
      </c>
      <c r="K38" s="104" t="s">
        <v>36</v>
      </c>
      <c r="L38" s="107" t="s">
        <v>514</v>
      </c>
    </row>
    <row r="39" spans="1:12" s="110" customFormat="1" ht="39.9" customHeight="1" x14ac:dyDescent="0.35">
      <c r="A39" s="104" t="s">
        <v>44</v>
      </c>
      <c r="B39" s="104" t="s">
        <v>45</v>
      </c>
      <c r="C39" s="105">
        <v>45757</v>
      </c>
      <c r="D39" s="105">
        <v>46336</v>
      </c>
      <c r="E39" s="119">
        <v>20250</v>
      </c>
      <c r="F39" s="119">
        <v>165250</v>
      </c>
      <c r="G39" s="119">
        <v>165250</v>
      </c>
      <c r="H39" s="119">
        <v>0</v>
      </c>
      <c r="I39" s="106">
        <v>45976</v>
      </c>
      <c r="J39" s="104">
        <v>8220757770</v>
      </c>
      <c r="K39" s="104" t="s">
        <v>28</v>
      </c>
      <c r="L39" s="107" t="s">
        <v>514</v>
      </c>
    </row>
    <row r="40" spans="1:12" s="110" customFormat="1" ht="39.9" customHeight="1" x14ac:dyDescent="0.35">
      <c r="A40" s="104" t="s">
        <v>51</v>
      </c>
      <c r="B40" s="104" t="s">
        <v>52</v>
      </c>
      <c r="C40" s="105">
        <v>45757</v>
      </c>
      <c r="D40" s="105">
        <v>46336</v>
      </c>
      <c r="E40" s="119">
        <v>12150</v>
      </c>
      <c r="F40" s="119">
        <v>99150</v>
      </c>
      <c r="G40" s="119">
        <v>99150</v>
      </c>
      <c r="H40" s="119">
        <v>0</v>
      </c>
      <c r="I40" s="106">
        <v>45974</v>
      </c>
      <c r="J40" s="104">
        <v>9655707084</v>
      </c>
      <c r="K40" s="104" t="s">
        <v>28</v>
      </c>
      <c r="L40" s="107" t="s">
        <v>514</v>
      </c>
    </row>
    <row r="41" spans="1:12" s="110" customFormat="1" ht="39.9" customHeight="1" x14ac:dyDescent="0.35">
      <c r="A41" s="104" t="s">
        <v>173</v>
      </c>
      <c r="B41" s="104" t="s">
        <v>174</v>
      </c>
      <c r="C41" s="105">
        <v>45848</v>
      </c>
      <c r="D41" s="105">
        <v>46428</v>
      </c>
      <c r="E41" s="119">
        <v>4000</v>
      </c>
      <c r="F41" s="119">
        <v>25000</v>
      </c>
      <c r="G41" s="119">
        <v>9000</v>
      </c>
      <c r="H41" s="119">
        <v>16000</v>
      </c>
      <c r="I41" s="106">
        <v>45860</v>
      </c>
      <c r="J41" s="104">
        <v>6374157643</v>
      </c>
      <c r="K41" s="104" t="s">
        <v>14</v>
      </c>
      <c r="L41" s="107" t="s">
        <v>514</v>
      </c>
    </row>
    <row r="42" spans="1:12" ht="39.9" customHeight="1" x14ac:dyDescent="0.35">
      <c r="A42" s="104" t="s">
        <v>37</v>
      </c>
      <c r="B42" s="104" t="s">
        <v>38</v>
      </c>
      <c r="C42" s="105">
        <v>45726</v>
      </c>
      <c r="D42" s="105">
        <v>46305</v>
      </c>
      <c r="E42" s="119">
        <v>19200</v>
      </c>
      <c r="F42" s="119">
        <v>156000</v>
      </c>
      <c r="G42" s="119">
        <v>156000</v>
      </c>
      <c r="H42" s="119">
        <v>0</v>
      </c>
      <c r="I42" s="106">
        <v>45972</v>
      </c>
      <c r="J42" s="104">
        <v>9092024257</v>
      </c>
      <c r="K42" s="104" t="s">
        <v>36</v>
      </c>
      <c r="L42" s="107" t="s">
        <v>514</v>
      </c>
    </row>
    <row r="43" spans="1:12" x14ac:dyDescent="0.35">
      <c r="A43" s="104" t="s">
        <v>37</v>
      </c>
      <c r="B43" s="104" t="s">
        <v>329</v>
      </c>
      <c r="C43" s="106">
        <v>45726</v>
      </c>
      <c r="D43" s="106">
        <v>46001</v>
      </c>
      <c r="E43" s="119">
        <v>9600</v>
      </c>
      <c r="F43" s="119">
        <v>78000</v>
      </c>
      <c r="G43" s="119">
        <v>78000</v>
      </c>
      <c r="H43" s="119">
        <v>0</v>
      </c>
      <c r="I43" s="106">
        <v>45972</v>
      </c>
      <c r="J43" s="107">
        <v>9092024256</v>
      </c>
      <c r="K43" s="104" t="s">
        <v>36</v>
      </c>
      <c r="L43" s="107" t="s">
        <v>514</v>
      </c>
    </row>
    <row r="44" spans="1:12" x14ac:dyDescent="0.35">
      <c r="A44" s="104" t="s">
        <v>42</v>
      </c>
      <c r="B44" s="104" t="s">
        <v>43</v>
      </c>
      <c r="C44" s="105">
        <v>45757</v>
      </c>
      <c r="D44" s="105">
        <v>46336</v>
      </c>
      <c r="E44" s="119">
        <v>8100</v>
      </c>
      <c r="F44" s="119">
        <v>66100</v>
      </c>
      <c r="G44" s="119">
        <v>66100</v>
      </c>
      <c r="H44" s="119">
        <v>0</v>
      </c>
      <c r="I44" s="106">
        <v>45976</v>
      </c>
      <c r="J44" s="104">
        <v>9566846920</v>
      </c>
      <c r="K44" s="104" t="s">
        <v>14</v>
      </c>
      <c r="L44" s="107" t="s">
        <v>514</v>
      </c>
    </row>
    <row r="45" spans="1:12" x14ac:dyDescent="0.35">
      <c r="A45" s="104" t="s">
        <v>44</v>
      </c>
      <c r="B45" s="104" t="s">
        <v>46</v>
      </c>
      <c r="C45" s="105">
        <v>45757</v>
      </c>
      <c r="D45" s="105">
        <v>46336</v>
      </c>
      <c r="E45" s="119">
        <v>12150</v>
      </c>
      <c r="F45" s="119">
        <v>99150</v>
      </c>
      <c r="G45" s="119">
        <v>99150</v>
      </c>
      <c r="H45" s="119">
        <v>0</v>
      </c>
      <c r="I45" s="106">
        <v>45976</v>
      </c>
      <c r="J45" s="104">
        <v>8220757771</v>
      </c>
      <c r="K45" s="104" t="s">
        <v>28</v>
      </c>
      <c r="L45" s="107" t="s">
        <v>514</v>
      </c>
    </row>
    <row r="46" spans="1:12" x14ac:dyDescent="0.35">
      <c r="A46" s="104" t="s">
        <v>47</v>
      </c>
      <c r="B46" s="104" t="s">
        <v>48</v>
      </c>
      <c r="C46" s="105">
        <v>45757</v>
      </c>
      <c r="D46" s="105">
        <v>46336</v>
      </c>
      <c r="E46" s="119">
        <v>9300</v>
      </c>
      <c r="F46" s="119">
        <v>68400</v>
      </c>
      <c r="G46" s="119">
        <v>68400</v>
      </c>
      <c r="H46" s="119">
        <v>0</v>
      </c>
      <c r="I46" s="106">
        <v>45961</v>
      </c>
      <c r="J46" s="104">
        <v>7092600133</v>
      </c>
      <c r="K46" s="104" t="s">
        <v>28</v>
      </c>
      <c r="L46" s="107" t="s">
        <v>514</v>
      </c>
    </row>
    <row r="47" spans="1:12" x14ac:dyDescent="0.35">
      <c r="A47" s="104" t="s">
        <v>49</v>
      </c>
      <c r="B47" s="104" t="s">
        <v>50</v>
      </c>
      <c r="C47" s="105">
        <v>45757</v>
      </c>
      <c r="D47" s="105">
        <v>46336</v>
      </c>
      <c r="E47" s="119">
        <v>3200</v>
      </c>
      <c r="F47" s="119">
        <v>26400</v>
      </c>
      <c r="G47" s="119">
        <v>26400</v>
      </c>
      <c r="H47" s="119">
        <v>0</v>
      </c>
      <c r="I47" s="106">
        <v>45925</v>
      </c>
      <c r="J47" s="104">
        <v>9944663900</v>
      </c>
      <c r="K47" s="104" t="s">
        <v>28</v>
      </c>
      <c r="L47" s="107" t="s">
        <v>514</v>
      </c>
    </row>
    <row r="48" spans="1:12" x14ac:dyDescent="0.35">
      <c r="A48" s="104" t="s">
        <v>53</v>
      </c>
      <c r="B48" s="104" t="s">
        <v>54</v>
      </c>
      <c r="C48" s="105">
        <v>45818</v>
      </c>
      <c r="D48" s="105">
        <v>46397</v>
      </c>
      <c r="E48" s="119">
        <v>4000</v>
      </c>
      <c r="F48" s="119">
        <v>17000</v>
      </c>
      <c r="G48" s="119">
        <v>17000</v>
      </c>
      <c r="H48" s="119">
        <v>0</v>
      </c>
      <c r="I48" s="106">
        <v>45978</v>
      </c>
      <c r="J48" s="104">
        <v>9003558446</v>
      </c>
      <c r="K48" s="104" t="s">
        <v>14</v>
      </c>
      <c r="L48" s="107" t="s">
        <v>514</v>
      </c>
    </row>
    <row r="49" spans="1:12" x14ac:dyDescent="0.35">
      <c r="A49" s="104" t="s">
        <v>55</v>
      </c>
      <c r="B49" s="104" t="s">
        <v>56</v>
      </c>
      <c r="C49" s="105">
        <v>45698</v>
      </c>
      <c r="D49" s="105">
        <v>46275</v>
      </c>
      <c r="E49" s="119">
        <v>96000</v>
      </c>
      <c r="F49" s="119">
        <v>880000</v>
      </c>
      <c r="G49" s="119">
        <v>880000</v>
      </c>
      <c r="H49" s="119">
        <v>0</v>
      </c>
      <c r="I49" s="106">
        <v>45943</v>
      </c>
      <c r="J49" s="104"/>
      <c r="K49" s="104" t="s">
        <v>17</v>
      </c>
      <c r="L49" s="107" t="s">
        <v>514</v>
      </c>
    </row>
    <row r="50" spans="1:12" x14ac:dyDescent="0.35">
      <c r="A50" s="104" t="s">
        <v>57</v>
      </c>
      <c r="B50" s="104" t="s">
        <v>58</v>
      </c>
      <c r="C50" s="105">
        <v>45848</v>
      </c>
      <c r="D50" s="105">
        <v>46428</v>
      </c>
      <c r="E50" s="119">
        <v>3200</v>
      </c>
      <c r="F50" s="119">
        <v>16800</v>
      </c>
      <c r="G50" s="119">
        <v>16800</v>
      </c>
      <c r="H50" s="119">
        <v>0</v>
      </c>
      <c r="I50" s="106">
        <v>45989</v>
      </c>
      <c r="J50" s="107">
        <v>8825827852</v>
      </c>
      <c r="K50" s="104" t="s">
        <v>14</v>
      </c>
      <c r="L50" s="107" t="s">
        <v>514</v>
      </c>
    </row>
    <row r="51" spans="1:12" x14ac:dyDescent="0.35">
      <c r="A51" s="104" t="s">
        <v>57</v>
      </c>
      <c r="B51" s="104" t="s">
        <v>59</v>
      </c>
      <c r="C51" s="105">
        <v>45848</v>
      </c>
      <c r="D51" s="105">
        <v>46428</v>
      </c>
      <c r="E51" s="119">
        <v>3200</v>
      </c>
      <c r="F51" s="119">
        <v>16800</v>
      </c>
      <c r="G51" s="119">
        <v>16800</v>
      </c>
      <c r="H51" s="119">
        <v>0</v>
      </c>
      <c r="I51" s="106">
        <v>45986</v>
      </c>
      <c r="J51" s="104">
        <v>8825827852</v>
      </c>
      <c r="K51" s="104" t="s">
        <v>14</v>
      </c>
      <c r="L51" s="107" t="s">
        <v>514</v>
      </c>
    </row>
    <row r="52" spans="1:12" x14ac:dyDescent="0.35">
      <c r="A52" s="104" t="s">
        <v>60</v>
      </c>
      <c r="B52" s="104" t="s">
        <v>61</v>
      </c>
      <c r="C52" s="105">
        <v>45879</v>
      </c>
      <c r="D52" s="105">
        <v>46456</v>
      </c>
      <c r="E52" s="119">
        <v>32000</v>
      </c>
      <c r="F52" s="119">
        <v>136000</v>
      </c>
      <c r="G52" s="119">
        <v>136000</v>
      </c>
      <c r="H52" s="119">
        <v>0</v>
      </c>
      <c r="I52" s="106">
        <v>45990</v>
      </c>
      <c r="J52" s="104">
        <v>8344483007</v>
      </c>
      <c r="K52" s="104" t="s">
        <v>14</v>
      </c>
      <c r="L52" s="107" t="s">
        <v>514</v>
      </c>
    </row>
    <row r="53" spans="1:12" x14ac:dyDescent="0.35">
      <c r="A53" s="104" t="s">
        <v>62</v>
      </c>
      <c r="B53" s="104" t="s">
        <v>63</v>
      </c>
      <c r="C53" s="105">
        <v>45879</v>
      </c>
      <c r="D53" s="105">
        <v>46456</v>
      </c>
      <c r="E53" s="119">
        <v>20000</v>
      </c>
      <c r="F53" s="119">
        <v>105000</v>
      </c>
      <c r="G53" s="119">
        <v>105000</v>
      </c>
      <c r="H53" s="119">
        <v>0</v>
      </c>
      <c r="I53" s="106">
        <v>45992</v>
      </c>
      <c r="J53" s="104">
        <v>9894592949</v>
      </c>
      <c r="K53" s="104" t="s">
        <v>17</v>
      </c>
      <c r="L53" s="107" t="s">
        <v>514</v>
      </c>
    </row>
    <row r="54" spans="1:12" x14ac:dyDescent="0.35">
      <c r="A54" s="104" t="s">
        <v>64</v>
      </c>
      <c r="B54" s="104" t="s">
        <v>65</v>
      </c>
      <c r="C54" s="105">
        <v>45879</v>
      </c>
      <c r="D54" s="105">
        <v>46456</v>
      </c>
      <c r="E54" s="119">
        <v>8000</v>
      </c>
      <c r="F54" s="119">
        <v>34000</v>
      </c>
      <c r="G54" s="119">
        <v>34000</v>
      </c>
      <c r="H54" s="119">
        <v>0</v>
      </c>
      <c r="I54" s="106">
        <v>45967</v>
      </c>
      <c r="J54" s="104">
        <v>9865837738</v>
      </c>
      <c r="K54" s="104" t="s">
        <v>28</v>
      </c>
      <c r="L54" s="107" t="s">
        <v>514</v>
      </c>
    </row>
    <row r="55" spans="1:12" x14ac:dyDescent="0.35">
      <c r="A55" s="107" t="s">
        <v>66</v>
      </c>
      <c r="B55" s="107" t="s">
        <v>67</v>
      </c>
      <c r="C55" s="106">
        <v>45910</v>
      </c>
      <c r="D55" s="106">
        <v>46487</v>
      </c>
      <c r="E55" s="119">
        <v>8000</v>
      </c>
      <c r="F55" s="119">
        <v>26000</v>
      </c>
      <c r="G55" s="119">
        <v>26000</v>
      </c>
      <c r="H55" s="119">
        <v>0</v>
      </c>
      <c r="I55" s="106">
        <v>45969</v>
      </c>
      <c r="J55" s="104">
        <v>9994059498</v>
      </c>
      <c r="K55" s="104" t="s">
        <v>28</v>
      </c>
      <c r="L55" s="107" t="s">
        <v>514</v>
      </c>
    </row>
    <row r="56" spans="1:12" x14ac:dyDescent="0.35">
      <c r="A56" s="107" t="s">
        <v>68</v>
      </c>
      <c r="B56" s="107" t="s">
        <v>69</v>
      </c>
      <c r="C56" s="106">
        <v>45910</v>
      </c>
      <c r="D56" s="106">
        <v>46487</v>
      </c>
      <c r="E56" s="119">
        <v>40000</v>
      </c>
      <c r="F56" s="119">
        <v>130000</v>
      </c>
      <c r="G56" s="119">
        <v>130000</v>
      </c>
      <c r="H56" s="119">
        <v>0</v>
      </c>
      <c r="I56" s="106">
        <v>45967</v>
      </c>
      <c r="J56" s="104">
        <v>8870655565</v>
      </c>
      <c r="K56" s="104" t="s">
        <v>28</v>
      </c>
      <c r="L56" s="107" t="s">
        <v>514</v>
      </c>
    </row>
    <row r="57" spans="1:12" x14ac:dyDescent="0.35">
      <c r="A57" s="107" t="s">
        <v>68</v>
      </c>
      <c r="B57" s="107" t="s">
        <v>70</v>
      </c>
      <c r="C57" s="106">
        <v>45910</v>
      </c>
      <c r="D57" s="106">
        <v>46487</v>
      </c>
      <c r="E57" s="119">
        <v>40000</v>
      </c>
      <c r="F57" s="119">
        <v>130000</v>
      </c>
      <c r="G57" s="119">
        <v>130000</v>
      </c>
      <c r="H57" s="119">
        <v>0</v>
      </c>
      <c r="I57" s="106">
        <v>45967</v>
      </c>
      <c r="J57" s="104">
        <v>8870655565</v>
      </c>
      <c r="K57" s="104" t="s">
        <v>28</v>
      </c>
      <c r="L57" s="107" t="s">
        <v>514</v>
      </c>
    </row>
    <row r="58" spans="1:12" x14ac:dyDescent="0.35">
      <c r="A58" s="107" t="s">
        <v>71</v>
      </c>
      <c r="B58" s="107" t="s">
        <v>72</v>
      </c>
      <c r="C58" s="106">
        <v>45910</v>
      </c>
      <c r="D58" s="106">
        <v>46487</v>
      </c>
      <c r="E58" s="119">
        <v>8000</v>
      </c>
      <c r="F58" s="119">
        <v>26000</v>
      </c>
      <c r="G58" s="119">
        <v>26000</v>
      </c>
      <c r="H58" s="119">
        <v>0</v>
      </c>
      <c r="I58" s="106">
        <v>45972</v>
      </c>
      <c r="J58" s="104">
        <v>9360120847</v>
      </c>
      <c r="K58" s="104" t="s">
        <v>73</v>
      </c>
      <c r="L58" s="107" t="s">
        <v>514</v>
      </c>
    </row>
    <row r="59" spans="1:12" x14ac:dyDescent="0.35">
      <c r="A59" s="107" t="s">
        <v>74</v>
      </c>
      <c r="B59" s="107" t="s">
        <v>75</v>
      </c>
      <c r="C59" s="106">
        <v>45940</v>
      </c>
      <c r="D59" s="106">
        <v>46517</v>
      </c>
      <c r="E59" s="119">
        <v>8000</v>
      </c>
      <c r="F59" s="119">
        <v>18000</v>
      </c>
      <c r="G59" s="119">
        <v>18000</v>
      </c>
      <c r="H59" s="119">
        <v>0</v>
      </c>
      <c r="I59" s="106">
        <v>45966</v>
      </c>
      <c r="J59" s="104">
        <v>9688992737</v>
      </c>
      <c r="K59" s="104" t="s">
        <v>14</v>
      </c>
      <c r="L59" s="107" t="s">
        <v>514</v>
      </c>
    </row>
    <row r="60" spans="1:12" x14ac:dyDescent="0.35">
      <c r="A60" s="104" t="s">
        <v>83</v>
      </c>
      <c r="B60" s="104" t="s">
        <v>84</v>
      </c>
      <c r="C60" s="105">
        <v>45684</v>
      </c>
      <c r="D60" s="105">
        <v>46261</v>
      </c>
      <c r="E60" s="119">
        <v>12675</v>
      </c>
      <c r="F60" s="119">
        <v>136575</v>
      </c>
      <c r="G60" s="119">
        <v>136575</v>
      </c>
      <c r="H60" s="119">
        <v>0</v>
      </c>
      <c r="I60" s="106">
        <v>45971</v>
      </c>
      <c r="J60" s="104">
        <v>9788299912</v>
      </c>
      <c r="K60" s="104" t="s">
        <v>85</v>
      </c>
      <c r="L60" s="107" t="s">
        <v>514</v>
      </c>
    </row>
    <row r="61" spans="1:12" x14ac:dyDescent="0.35">
      <c r="A61" s="104" t="s">
        <v>86</v>
      </c>
      <c r="B61" s="104" t="s">
        <v>87</v>
      </c>
      <c r="C61" s="105">
        <v>45667</v>
      </c>
      <c r="D61" s="105">
        <v>46244</v>
      </c>
      <c r="E61" s="119">
        <v>10000</v>
      </c>
      <c r="F61" s="119">
        <v>88000</v>
      </c>
      <c r="G61" s="119">
        <v>78000</v>
      </c>
      <c r="H61" s="119">
        <f>F61-G61</f>
        <v>10000</v>
      </c>
      <c r="I61" s="106">
        <v>45943</v>
      </c>
      <c r="J61" s="104">
        <v>7344504554</v>
      </c>
      <c r="K61" s="104" t="s">
        <v>14</v>
      </c>
      <c r="L61" s="107" t="s">
        <v>514</v>
      </c>
    </row>
    <row r="62" spans="1:12" x14ac:dyDescent="0.35">
      <c r="A62" s="104" t="s">
        <v>78</v>
      </c>
      <c r="B62" s="104" t="s">
        <v>88</v>
      </c>
      <c r="C62" s="105">
        <v>45667</v>
      </c>
      <c r="D62" s="105">
        <v>46244</v>
      </c>
      <c r="E62" s="119">
        <v>4225</v>
      </c>
      <c r="F62" s="119">
        <v>45525</v>
      </c>
      <c r="G62" s="119">
        <v>37250</v>
      </c>
      <c r="H62" s="119">
        <v>8275</v>
      </c>
      <c r="I62" s="106">
        <v>45964</v>
      </c>
      <c r="J62" s="104">
        <v>8248986254</v>
      </c>
      <c r="K62" s="104" t="s">
        <v>36</v>
      </c>
      <c r="L62" s="107" t="s">
        <v>514</v>
      </c>
    </row>
    <row r="63" spans="1:12" x14ac:dyDescent="0.35">
      <c r="A63" s="104" t="s">
        <v>89</v>
      </c>
      <c r="B63" s="104" t="s">
        <v>90</v>
      </c>
      <c r="C63" s="105">
        <v>45698</v>
      </c>
      <c r="D63" s="105">
        <v>46275</v>
      </c>
      <c r="E63" s="119">
        <v>20750</v>
      </c>
      <c r="F63" s="119">
        <v>206500</v>
      </c>
      <c r="G63" s="119">
        <v>65000</v>
      </c>
      <c r="H63" s="119">
        <v>141500</v>
      </c>
      <c r="I63" s="106">
        <v>45807</v>
      </c>
      <c r="J63" s="104">
        <v>9843352555</v>
      </c>
      <c r="K63" s="104" t="s">
        <v>17</v>
      </c>
      <c r="L63" s="107" t="s">
        <v>514</v>
      </c>
    </row>
    <row r="64" spans="1:12" x14ac:dyDescent="0.35">
      <c r="A64" s="104" t="s">
        <v>91</v>
      </c>
      <c r="B64" s="104" t="s">
        <v>92</v>
      </c>
      <c r="C64" s="105">
        <v>45787</v>
      </c>
      <c r="D64" s="105">
        <v>46366</v>
      </c>
      <c r="E64" s="119">
        <v>20000</v>
      </c>
      <c r="F64" s="119">
        <v>145000</v>
      </c>
      <c r="G64" s="119">
        <v>145000</v>
      </c>
      <c r="H64" s="119">
        <v>0</v>
      </c>
      <c r="I64" s="106">
        <v>45985</v>
      </c>
      <c r="J64" s="104">
        <v>9944771542</v>
      </c>
      <c r="K64" s="104" t="s">
        <v>28</v>
      </c>
      <c r="L64" s="107" t="s">
        <v>514</v>
      </c>
    </row>
    <row r="65" spans="1:12" x14ac:dyDescent="0.35">
      <c r="A65" s="104" t="s">
        <v>93</v>
      </c>
      <c r="B65" s="104" t="s">
        <v>94</v>
      </c>
      <c r="C65" s="105">
        <v>45848</v>
      </c>
      <c r="D65" s="105">
        <v>46428</v>
      </c>
      <c r="E65" s="119">
        <v>3200</v>
      </c>
      <c r="F65" s="119">
        <v>16800</v>
      </c>
      <c r="G65" s="119">
        <v>16800</v>
      </c>
      <c r="H65" s="119">
        <v>0</v>
      </c>
      <c r="I65" s="106">
        <v>45976</v>
      </c>
      <c r="J65" s="104">
        <v>9843133249</v>
      </c>
      <c r="K65" s="104" t="s">
        <v>14</v>
      </c>
      <c r="L65" s="107" t="s">
        <v>514</v>
      </c>
    </row>
    <row r="66" spans="1:12" x14ac:dyDescent="0.35">
      <c r="A66" s="104" t="s">
        <v>320</v>
      </c>
      <c r="B66" s="104" t="s">
        <v>95</v>
      </c>
      <c r="C66" s="105">
        <v>45879</v>
      </c>
      <c r="D66" s="105">
        <v>46456</v>
      </c>
      <c r="E66" s="119">
        <v>9600</v>
      </c>
      <c r="F66" s="119">
        <v>40800</v>
      </c>
      <c r="G66" s="119">
        <v>40800</v>
      </c>
      <c r="H66" s="119">
        <v>0</v>
      </c>
      <c r="I66" s="106">
        <v>45985</v>
      </c>
      <c r="J66" s="104">
        <v>6381887652</v>
      </c>
      <c r="K66" s="104" t="s">
        <v>14</v>
      </c>
      <c r="L66" s="107" t="s">
        <v>514</v>
      </c>
    </row>
    <row r="67" spans="1:12" x14ac:dyDescent="0.35">
      <c r="A67" s="104" t="s">
        <v>96</v>
      </c>
      <c r="B67" s="104" t="s">
        <v>97</v>
      </c>
      <c r="C67" s="105">
        <v>45879</v>
      </c>
      <c r="D67" s="105">
        <v>46457</v>
      </c>
      <c r="E67" s="119">
        <v>3200</v>
      </c>
      <c r="F67" s="119">
        <v>13600</v>
      </c>
      <c r="G67" s="119">
        <v>13600</v>
      </c>
      <c r="H67" s="119">
        <v>0</v>
      </c>
      <c r="I67" s="106">
        <v>45983</v>
      </c>
      <c r="J67" s="104">
        <v>8825827852</v>
      </c>
      <c r="K67" s="104" t="s">
        <v>14</v>
      </c>
      <c r="L67" s="107" t="s">
        <v>514</v>
      </c>
    </row>
    <row r="68" spans="1:12" x14ac:dyDescent="0.35">
      <c r="A68" s="104" t="s">
        <v>98</v>
      </c>
      <c r="B68" s="104" t="s">
        <v>99</v>
      </c>
      <c r="C68" s="105">
        <v>45879</v>
      </c>
      <c r="D68" s="105">
        <v>46456</v>
      </c>
      <c r="E68" s="119">
        <v>80000</v>
      </c>
      <c r="F68" s="119">
        <v>340000</v>
      </c>
      <c r="G68" s="119">
        <v>340000</v>
      </c>
      <c r="H68" s="119">
        <v>0</v>
      </c>
      <c r="I68" s="106">
        <v>45975</v>
      </c>
      <c r="J68" s="104">
        <v>9003316875</v>
      </c>
      <c r="K68" s="104" t="s">
        <v>14</v>
      </c>
      <c r="L68" s="107" t="s">
        <v>514</v>
      </c>
    </row>
    <row r="69" spans="1:12" x14ac:dyDescent="0.35">
      <c r="A69" s="104" t="s">
        <v>100</v>
      </c>
      <c r="B69" s="104" t="s">
        <v>101</v>
      </c>
      <c r="C69" s="105">
        <v>45880</v>
      </c>
      <c r="D69" s="105">
        <v>46457</v>
      </c>
      <c r="E69" s="119">
        <v>80000</v>
      </c>
      <c r="F69" s="119">
        <v>340000</v>
      </c>
      <c r="G69" s="119">
        <v>340000</v>
      </c>
      <c r="H69" s="119">
        <v>0</v>
      </c>
      <c r="I69" s="106">
        <v>45975</v>
      </c>
      <c r="J69" s="104">
        <v>9003316875</v>
      </c>
      <c r="K69" s="104" t="s">
        <v>14</v>
      </c>
      <c r="L69" s="107" t="s">
        <v>514</v>
      </c>
    </row>
    <row r="70" spans="1:12" x14ac:dyDescent="0.35">
      <c r="A70" s="104" t="s">
        <v>102</v>
      </c>
      <c r="B70" s="104" t="s">
        <v>103</v>
      </c>
      <c r="C70" s="105">
        <v>45879</v>
      </c>
      <c r="D70" s="105">
        <v>46456</v>
      </c>
      <c r="E70" s="119">
        <v>20000</v>
      </c>
      <c r="F70" s="119">
        <v>85000</v>
      </c>
      <c r="G70" s="119">
        <v>45000</v>
      </c>
      <c r="H70" s="119">
        <v>40000</v>
      </c>
      <c r="I70" s="106">
        <v>45967</v>
      </c>
      <c r="J70" s="104">
        <v>9944372162</v>
      </c>
      <c r="K70" s="104" t="s">
        <v>104</v>
      </c>
      <c r="L70" s="107" t="s">
        <v>514</v>
      </c>
    </row>
    <row r="71" spans="1:12" x14ac:dyDescent="0.35">
      <c r="A71" s="104" t="s">
        <v>107</v>
      </c>
      <c r="B71" s="104" t="s">
        <v>108</v>
      </c>
      <c r="C71" s="105">
        <v>45879</v>
      </c>
      <c r="D71" s="105">
        <v>46456</v>
      </c>
      <c r="E71" s="119">
        <v>8000</v>
      </c>
      <c r="F71" s="119">
        <v>34000</v>
      </c>
      <c r="G71" s="119">
        <v>34000</v>
      </c>
      <c r="H71" s="119">
        <v>0</v>
      </c>
      <c r="I71" s="106">
        <v>45953</v>
      </c>
      <c r="J71" s="104">
        <v>9486932798</v>
      </c>
      <c r="K71" s="104" t="s">
        <v>28</v>
      </c>
      <c r="L71" s="107" t="s">
        <v>514</v>
      </c>
    </row>
    <row r="72" spans="1:12" x14ac:dyDescent="0.35">
      <c r="A72" s="107" t="s">
        <v>109</v>
      </c>
      <c r="B72" s="107" t="s">
        <v>110</v>
      </c>
      <c r="C72" s="106">
        <v>45910</v>
      </c>
      <c r="D72" s="106">
        <v>46487</v>
      </c>
      <c r="E72" s="119">
        <v>4000</v>
      </c>
      <c r="F72" s="119">
        <v>13000</v>
      </c>
      <c r="G72" s="119">
        <v>13000</v>
      </c>
      <c r="H72" s="119">
        <v>0</v>
      </c>
      <c r="I72" s="106">
        <v>45967</v>
      </c>
      <c r="J72" s="104"/>
      <c r="K72" s="104" t="s">
        <v>28</v>
      </c>
      <c r="L72" s="107" t="s">
        <v>514</v>
      </c>
    </row>
    <row r="73" spans="1:12" x14ac:dyDescent="0.35">
      <c r="A73" s="107" t="s">
        <v>334</v>
      </c>
      <c r="B73" s="107" t="s">
        <v>333</v>
      </c>
      <c r="C73" s="106">
        <v>45971</v>
      </c>
      <c r="D73" s="106">
        <v>46548</v>
      </c>
      <c r="E73" s="119">
        <v>10000</v>
      </c>
      <c r="F73" s="119">
        <v>10000</v>
      </c>
      <c r="G73" s="119">
        <v>10000</v>
      </c>
      <c r="H73" s="119">
        <v>0</v>
      </c>
      <c r="I73" s="106">
        <v>45976</v>
      </c>
      <c r="J73" s="107">
        <v>9944442237</v>
      </c>
      <c r="K73" s="104" t="s">
        <v>28</v>
      </c>
      <c r="L73" s="107" t="s">
        <v>514</v>
      </c>
    </row>
    <row r="74" spans="1:12" x14ac:dyDescent="0.35">
      <c r="A74" s="104" t="s">
        <v>12</v>
      </c>
      <c r="B74" s="104" t="s">
        <v>13</v>
      </c>
      <c r="C74" s="105">
        <v>45392</v>
      </c>
      <c r="D74" s="105">
        <v>45971</v>
      </c>
      <c r="E74" s="119">
        <v>5000</v>
      </c>
      <c r="F74" s="119">
        <v>87500</v>
      </c>
      <c r="G74" s="119">
        <v>87500</v>
      </c>
      <c r="H74" s="119">
        <v>0</v>
      </c>
      <c r="I74" s="106">
        <v>45975</v>
      </c>
      <c r="J74" s="104">
        <v>9443392653</v>
      </c>
      <c r="K74" s="104" t="s">
        <v>14</v>
      </c>
      <c r="L74" s="107" t="s">
        <v>514</v>
      </c>
    </row>
    <row r="75" spans="1:12" x14ac:dyDescent="0.35">
      <c r="A75" s="104" t="s">
        <v>15</v>
      </c>
      <c r="B75" s="104" t="s">
        <v>16</v>
      </c>
      <c r="C75" s="105">
        <v>45392</v>
      </c>
      <c r="D75" s="105">
        <v>45971</v>
      </c>
      <c r="E75" s="119">
        <v>25000</v>
      </c>
      <c r="F75" s="119">
        <v>437500</v>
      </c>
      <c r="G75" s="119">
        <v>437500</v>
      </c>
      <c r="H75" s="119">
        <v>0</v>
      </c>
      <c r="I75" s="106">
        <v>45960</v>
      </c>
      <c r="J75" s="104">
        <v>7904752488</v>
      </c>
      <c r="K75" s="104" t="s">
        <v>17</v>
      </c>
      <c r="L75" s="107" t="s">
        <v>514</v>
      </c>
    </row>
    <row r="76" spans="1:12" x14ac:dyDescent="0.35">
      <c r="A76" s="104" t="s">
        <v>18</v>
      </c>
      <c r="B76" s="104" t="s">
        <v>19</v>
      </c>
      <c r="C76" s="105">
        <v>45392</v>
      </c>
      <c r="D76" s="105">
        <v>45971</v>
      </c>
      <c r="E76" s="119">
        <v>5000</v>
      </c>
      <c r="F76" s="119">
        <v>87500</v>
      </c>
      <c r="G76" s="119">
        <v>87500</v>
      </c>
      <c r="H76" s="119">
        <f>F76-G76</f>
        <v>0</v>
      </c>
      <c r="I76" s="106">
        <v>45965</v>
      </c>
      <c r="J76" s="104">
        <v>9600898204</v>
      </c>
      <c r="K76" s="104" t="s">
        <v>14</v>
      </c>
      <c r="L76" s="107" t="s">
        <v>514</v>
      </c>
    </row>
    <row r="77" spans="1:12" x14ac:dyDescent="0.35">
      <c r="A77" s="104" t="s">
        <v>20</v>
      </c>
      <c r="B77" s="104" t="s">
        <v>21</v>
      </c>
      <c r="C77" s="105">
        <v>45392</v>
      </c>
      <c r="D77" s="105">
        <v>45971</v>
      </c>
      <c r="E77" s="119">
        <v>5000</v>
      </c>
      <c r="F77" s="119">
        <v>87500</v>
      </c>
      <c r="G77" s="119">
        <v>87500</v>
      </c>
      <c r="H77" s="119">
        <f>F77-G77</f>
        <v>0</v>
      </c>
      <c r="I77" s="106">
        <v>45962</v>
      </c>
      <c r="J77" s="104">
        <v>9865957425</v>
      </c>
      <c r="K77" s="104" t="s">
        <v>17</v>
      </c>
      <c r="L77" s="107" t="s">
        <v>514</v>
      </c>
    </row>
    <row r="78" spans="1:12" x14ac:dyDescent="0.35">
      <c r="A78" s="104" t="s">
        <v>22</v>
      </c>
      <c r="B78" s="104" t="s">
        <v>23</v>
      </c>
      <c r="C78" s="105">
        <v>45422</v>
      </c>
      <c r="D78" s="105">
        <v>46001</v>
      </c>
      <c r="E78" s="119">
        <v>9900</v>
      </c>
      <c r="F78" s="119">
        <v>165000</v>
      </c>
      <c r="G78" s="119">
        <v>147000</v>
      </c>
      <c r="H78" s="119">
        <v>18000</v>
      </c>
      <c r="I78" s="106">
        <v>45941</v>
      </c>
      <c r="J78" s="104">
        <v>8870655565</v>
      </c>
      <c r="K78" s="104" t="s">
        <v>17</v>
      </c>
      <c r="L78" s="107" t="s">
        <v>514</v>
      </c>
    </row>
    <row r="79" spans="1:12" x14ac:dyDescent="0.35">
      <c r="A79" s="104" t="s">
        <v>24</v>
      </c>
      <c r="B79" s="104" t="s">
        <v>25</v>
      </c>
      <c r="C79" s="105">
        <v>45483</v>
      </c>
      <c r="D79" s="105">
        <v>46063</v>
      </c>
      <c r="E79" s="119">
        <v>4800</v>
      </c>
      <c r="F79" s="119">
        <v>72700</v>
      </c>
      <c r="G79" s="119">
        <v>72700</v>
      </c>
      <c r="H79" s="119">
        <v>0</v>
      </c>
      <c r="I79" s="106">
        <v>45994</v>
      </c>
      <c r="J79" s="104">
        <v>9597371111</v>
      </c>
      <c r="K79" s="104" t="s">
        <v>17</v>
      </c>
      <c r="L79" s="107" t="s">
        <v>514</v>
      </c>
    </row>
    <row r="80" spans="1:12" x14ac:dyDescent="0.35">
      <c r="A80" s="104" t="s">
        <v>29</v>
      </c>
      <c r="B80" s="104" t="s">
        <v>30</v>
      </c>
      <c r="C80" s="105">
        <v>45514</v>
      </c>
      <c r="D80" s="105">
        <v>46091</v>
      </c>
      <c r="E80" s="119">
        <v>13950</v>
      </c>
      <c r="F80" s="119">
        <v>203700</v>
      </c>
      <c r="G80" s="119">
        <v>203700</v>
      </c>
      <c r="H80" s="119">
        <v>0</v>
      </c>
      <c r="I80" s="106">
        <v>45971</v>
      </c>
      <c r="J80" s="107">
        <v>9894431394</v>
      </c>
      <c r="K80" s="104" t="s">
        <v>28</v>
      </c>
      <c r="L80" s="107" t="s">
        <v>514</v>
      </c>
    </row>
    <row r="81" spans="1:14" x14ac:dyDescent="0.35">
      <c r="A81" s="104" t="s">
        <v>31</v>
      </c>
      <c r="B81" s="104" t="s">
        <v>32</v>
      </c>
      <c r="C81" s="105">
        <v>45483</v>
      </c>
      <c r="D81" s="105">
        <v>46063</v>
      </c>
      <c r="E81" s="119">
        <v>14400</v>
      </c>
      <c r="F81" s="119">
        <v>218100</v>
      </c>
      <c r="G81" s="119">
        <v>111450</v>
      </c>
      <c r="H81" s="119">
        <v>106650</v>
      </c>
      <c r="I81" s="106">
        <v>45740</v>
      </c>
      <c r="J81" s="104">
        <v>8807322007</v>
      </c>
      <c r="K81" s="104" t="s">
        <v>28</v>
      </c>
      <c r="L81" s="107" t="s">
        <v>514</v>
      </c>
    </row>
    <row r="82" spans="1:14" x14ac:dyDescent="0.35">
      <c r="A82" s="104" t="s">
        <v>31</v>
      </c>
      <c r="B82" s="104" t="s">
        <v>33</v>
      </c>
      <c r="C82" s="105">
        <v>45483</v>
      </c>
      <c r="D82" s="105">
        <v>46063</v>
      </c>
      <c r="E82" s="119">
        <v>14400</v>
      </c>
      <c r="F82" s="119">
        <v>218100</v>
      </c>
      <c r="G82" s="119">
        <v>111450</v>
      </c>
      <c r="H82" s="119">
        <v>106650</v>
      </c>
      <c r="I82" s="106">
        <v>45740</v>
      </c>
      <c r="J82" s="104">
        <v>8807322007</v>
      </c>
      <c r="K82" s="104" t="s">
        <v>28</v>
      </c>
      <c r="L82" s="107" t="s">
        <v>514</v>
      </c>
    </row>
    <row r="83" spans="1:14" x14ac:dyDescent="0.35">
      <c r="A83" s="104" t="s">
        <v>34</v>
      </c>
      <c r="B83" s="104" t="s">
        <v>35</v>
      </c>
      <c r="C83" s="105">
        <v>45636</v>
      </c>
      <c r="D83" s="105">
        <v>46213</v>
      </c>
      <c r="E83" s="119">
        <v>10050</v>
      </c>
      <c r="F83" s="119">
        <v>118200</v>
      </c>
      <c r="G83" s="119">
        <v>118200</v>
      </c>
      <c r="H83" s="119">
        <v>0</v>
      </c>
      <c r="I83" s="106">
        <v>45973</v>
      </c>
      <c r="J83" s="104">
        <v>9940757575</v>
      </c>
      <c r="K83" s="104" t="s">
        <v>36</v>
      </c>
      <c r="L83" s="107" t="s">
        <v>514</v>
      </c>
    </row>
    <row r="84" spans="1:14" x14ac:dyDescent="0.35">
      <c r="A84" s="104" t="s">
        <v>76</v>
      </c>
      <c r="B84" s="104" t="s">
        <v>77</v>
      </c>
      <c r="C84" s="105">
        <v>45422</v>
      </c>
      <c r="D84" s="105">
        <v>46001</v>
      </c>
      <c r="E84" s="119">
        <v>24750</v>
      </c>
      <c r="F84" s="119">
        <v>412500</v>
      </c>
      <c r="G84" s="119">
        <v>412500</v>
      </c>
      <c r="H84" s="119">
        <v>0</v>
      </c>
      <c r="I84" s="106">
        <v>45967</v>
      </c>
      <c r="J84" s="104">
        <v>9524068353</v>
      </c>
      <c r="K84" s="104" t="s">
        <v>17</v>
      </c>
      <c r="L84" s="107" t="s">
        <v>514</v>
      </c>
    </row>
    <row r="85" spans="1:14" x14ac:dyDescent="0.35">
      <c r="A85" s="104" t="s">
        <v>78</v>
      </c>
      <c r="B85" s="104" t="s">
        <v>79</v>
      </c>
      <c r="C85" s="105">
        <v>45545</v>
      </c>
      <c r="D85" s="105">
        <v>46122</v>
      </c>
      <c r="E85" s="119">
        <v>4550</v>
      </c>
      <c r="F85" s="119">
        <v>63250</v>
      </c>
      <c r="G85" s="119">
        <v>54400</v>
      </c>
      <c r="H85" s="119">
        <v>8850</v>
      </c>
      <c r="I85" s="106">
        <v>45964</v>
      </c>
      <c r="J85" s="104">
        <v>8248986254</v>
      </c>
      <c r="K85" s="104" t="s">
        <v>28</v>
      </c>
      <c r="L85" s="107" t="s">
        <v>514</v>
      </c>
    </row>
    <row r="86" spans="1:14" x14ac:dyDescent="0.35">
      <c r="A86" s="104" t="s">
        <v>80</v>
      </c>
      <c r="B86" s="104" t="s">
        <v>81</v>
      </c>
      <c r="C86" s="105">
        <v>45575</v>
      </c>
      <c r="D86" s="105">
        <v>46152</v>
      </c>
      <c r="E86" s="119">
        <v>8950</v>
      </c>
      <c r="F86" s="119">
        <v>117400</v>
      </c>
      <c r="G86" s="119">
        <v>91100</v>
      </c>
      <c r="H86" s="119">
        <v>26300</v>
      </c>
      <c r="I86" s="106">
        <v>45878</v>
      </c>
      <c r="J86" s="104">
        <v>8220312436</v>
      </c>
      <c r="K86" s="104" t="s">
        <v>28</v>
      </c>
      <c r="L86" s="107" t="s">
        <v>514</v>
      </c>
    </row>
    <row r="87" spans="1:14" x14ac:dyDescent="0.35">
      <c r="A87" s="104" t="s">
        <v>105</v>
      </c>
      <c r="B87" s="104" t="s">
        <v>106</v>
      </c>
      <c r="C87" s="105">
        <v>45524</v>
      </c>
      <c r="D87" s="105">
        <v>46101</v>
      </c>
      <c r="E87" s="119">
        <v>13650</v>
      </c>
      <c r="F87" s="119">
        <v>189750</v>
      </c>
      <c r="G87" s="119">
        <v>189750</v>
      </c>
      <c r="H87" s="119">
        <v>0</v>
      </c>
      <c r="I87" s="106">
        <v>45969</v>
      </c>
      <c r="J87" s="104">
        <v>9443017476</v>
      </c>
      <c r="K87" s="104" t="s">
        <v>28</v>
      </c>
      <c r="L87" s="107" t="s">
        <v>514</v>
      </c>
    </row>
    <row r="88" spans="1:14" x14ac:dyDescent="0.35">
      <c r="A88" s="107" t="s">
        <v>325</v>
      </c>
      <c r="B88" s="107" t="s">
        <v>324</v>
      </c>
      <c r="C88" s="106">
        <v>45940</v>
      </c>
      <c r="D88" s="106">
        <v>46517</v>
      </c>
      <c r="E88" s="119">
        <v>16000</v>
      </c>
      <c r="F88" s="119">
        <v>36000</v>
      </c>
      <c r="G88" s="119">
        <v>36000</v>
      </c>
      <c r="H88" s="119">
        <v>0</v>
      </c>
      <c r="I88" s="106">
        <v>45975</v>
      </c>
      <c r="J88" s="104">
        <v>7667534744</v>
      </c>
      <c r="K88" s="104" t="s">
        <v>28</v>
      </c>
      <c r="L88" s="107" t="s">
        <v>514</v>
      </c>
    </row>
    <row r="89" spans="1:14" x14ac:dyDescent="0.35">
      <c r="A89" s="107" t="s">
        <v>323</v>
      </c>
      <c r="B89" s="107" t="s">
        <v>326</v>
      </c>
      <c r="C89" s="106">
        <v>45971</v>
      </c>
      <c r="D89" s="106">
        <v>46244</v>
      </c>
      <c r="E89" s="119">
        <v>50000</v>
      </c>
      <c r="F89" s="119">
        <v>50000</v>
      </c>
      <c r="G89" s="119">
        <v>50000</v>
      </c>
      <c r="H89" s="119">
        <v>0</v>
      </c>
      <c r="I89" s="106">
        <v>45966</v>
      </c>
      <c r="J89" s="104">
        <v>9994059498</v>
      </c>
      <c r="K89" s="104" t="s">
        <v>28</v>
      </c>
      <c r="L89" s="107" t="s">
        <v>514</v>
      </c>
    </row>
    <row r="90" spans="1:14" ht="21" x14ac:dyDescent="0.4">
      <c r="A90" s="30" t="s">
        <v>177</v>
      </c>
      <c r="B90" s="30" t="s">
        <v>178</v>
      </c>
      <c r="C90" s="32">
        <v>45392</v>
      </c>
      <c r="D90" s="32">
        <v>45971</v>
      </c>
      <c r="E90" s="121">
        <v>25000</v>
      </c>
      <c r="F90" s="121">
        <v>437500</v>
      </c>
      <c r="G90" s="121">
        <v>140750</v>
      </c>
      <c r="H90" s="121">
        <f>F90-G90</f>
        <v>296750</v>
      </c>
      <c r="I90" s="34">
        <v>45833</v>
      </c>
      <c r="J90" s="30">
        <v>9003701260</v>
      </c>
      <c r="K90" s="39" t="s">
        <v>175</v>
      </c>
      <c r="L90" s="115" t="s">
        <v>515</v>
      </c>
      <c r="M90" s="111"/>
      <c r="N90" s="111"/>
    </row>
    <row r="91" spans="1:14" ht="21" x14ac:dyDescent="0.4">
      <c r="A91" s="30" t="s">
        <v>179</v>
      </c>
      <c r="B91" s="30" t="s">
        <v>180</v>
      </c>
      <c r="C91" s="32">
        <v>45453</v>
      </c>
      <c r="D91" s="32">
        <v>46032</v>
      </c>
      <c r="E91" s="121">
        <v>4850</v>
      </c>
      <c r="F91" s="121">
        <v>77550</v>
      </c>
      <c r="G91" s="121">
        <v>77550</v>
      </c>
      <c r="H91" s="119">
        <v>0</v>
      </c>
      <c r="I91" s="34">
        <v>45981</v>
      </c>
      <c r="J91" s="30">
        <v>9384795608</v>
      </c>
      <c r="K91" s="39" t="s">
        <v>175</v>
      </c>
      <c r="L91" s="115" t="s">
        <v>515</v>
      </c>
      <c r="M91" s="111"/>
      <c r="N91" s="111"/>
    </row>
    <row r="92" spans="1:14" ht="21" x14ac:dyDescent="0.4">
      <c r="A92" s="30" t="s">
        <v>182</v>
      </c>
      <c r="B92" s="30" t="s">
        <v>183</v>
      </c>
      <c r="C92" s="32">
        <v>45392</v>
      </c>
      <c r="D92" s="32">
        <v>45971</v>
      </c>
      <c r="E92" s="121">
        <v>18750</v>
      </c>
      <c r="F92" s="121">
        <v>340000</v>
      </c>
      <c r="G92" s="121">
        <v>196850</v>
      </c>
      <c r="H92" s="121">
        <v>143150</v>
      </c>
      <c r="I92" s="34">
        <v>45988</v>
      </c>
      <c r="J92" s="30">
        <v>9362100768</v>
      </c>
      <c r="K92" s="39" t="s">
        <v>175</v>
      </c>
      <c r="L92" s="115" t="s">
        <v>515</v>
      </c>
      <c r="M92" s="111"/>
      <c r="N92" s="111"/>
    </row>
    <row r="93" spans="1:14" ht="21" x14ac:dyDescent="0.4">
      <c r="A93" s="30" t="s">
        <v>184</v>
      </c>
      <c r="B93" s="30" t="s">
        <v>185</v>
      </c>
      <c r="C93" s="32">
        <v>45393</v>
      </c>
      <c r="D93" s="32">
        <v>45972</v>
      </c>
      <c r="E93" s="121">
        <v>7500</v>
      </c>
      <c r="F93" s="121">
        <v>136000</v>
      </c>
      <c r="G93" s="121">
        <v>71500</v>
      </c>
      <c r="H93" s="121">
        <v>64500</v>
      </c>
      <c r="I93" s="34">
        <v>45902</v>
      </c>
      <c r="J93" s="30">
        <v>9943006535</v>
      </c>
      <c r="K93" s="39" t="s">
        <v>175</v>
      </c>
      <c r="L93" s="115" t="s">
        <v>515</v>
      </c>
      <c r="M93" s="111"/>
      <c r="N93" s="111"/>
    </row>
    <row r="94" spans="1:14" ht="21" x14ac:dyDescent="0.4">
      <c r="A94" s="30" t="s">
        <v>116</v>
      </c>
      <c r="B94" s="30" t="s">
        <v>186</v>
      </c>
      <c r="C94" s="32">
        <v>45422</v>
      </c>
      <c r="D94" s="32">
        <v>46001</v>
      </c>
      <c r="E94" s="121">
        <v>18500</v>
      </c>
      <c r="F94" s="121">
        <v>321250</v>
      </c>
      <c r="G94" s="121">
        <v>297150</v>
      </c>
      <c r="H94" s="121">
        <v>24100</v>
      </c>
      <c r="I94" s="34">
        <v>45993</v>
      </c>
      <c r="J94" s="30">
        <v>8344483007</v>
      </c>
      <c r="K94" s="39" t="s">
        <v>175</v>
      </c>
      <c r="L94" s="115" t="s">
        <v>515</v>
      </c>
      <c r="M94" s="111"/>
      <c r="N94" s="111"/>
    </row>
    <row r="95" spans="1:14" ht="21" x14ac:dyDescent="0.4">
      <c r="A95" s="30" t="s">
        <v>187</v>
      </c>
      <c r="B95" s="30" t="s">
        <v>188</v>
      </c>
      <c r="C95" s="32">
        <v>45463</v>
      </c>
      <c r="D95" s="32">
        <v>46042</v>
      </c>
      <c r="E95" s="121">
        <v>14550</v>
      </c>
      <c r="F95" s="121">
        <v>232650</v>
      </c>
      <c r="G95" s="121">
        <v>212000</v>
      </c>
      <c r="H95" s="121">
        <v>20650</v>
      </c>
      <c r="I95" s="34">
        <v>45993</v>
      </c>
      <c r="J95" s="30">
        <v>9003712244</v>
      </c>
      <c r="K95" s="39" t="s">
        <v>175</v>
      </c>
      <c r="L95" s="115" t="s">
        <v>515</v>
      </c>
      <c r="M95" s="111"/>
      <c r="N95" s="111"/>
    </row>
    <row r="96" spans="1:14" ht="21" x14ac:dyDescent="0.4">
      <c r="A96" s="30" t="s">
        <v>189</v>
      </c>
      <c r="B96" s="30" t="s">
        <v>190</v>
      </c>
      <c r="C96" s="32">
        <v>45463</v>
      </c>
      <c r="D96" s="32">
        <v>46042</v>
      </c>
      <c r="E96" s="121">
        <v>9700</v>
      </c>
      <c r="F96" s="121">
        <v>155100</v>
      </c>
      <c r="G96" s="121">
        <v>91350</v>
      </c>
      <c r="H96" s="121">
        <v>63750</v>
      </c>
      <c r="I96" s="34">
        <v>45918</v>
      </c>
      <c r="J96" s="30">
        <v>9944283210</v>
      </c>
      <c r="K96" s="39" t="s">
        <v>17</v>
      </c>
      <c r="L96" s="115" t="s">
        <v>515</v>
      </c>
      <c r="M96" s="111"/>
      <c r="N96" s="111"/>
    </row>
    <row r="97" spans="1:14" ht="21" x14ac:dyDescent="0.4">
      <c r="A97" s="30" t="s">
        <v>191</v>
      </c>
      <c r="B97" s="30" t="s">
        <v>192</v>
      </c>
      <c r="C97" s="32">
        <v>45483</v>
      </c>
      <c r="D97" s="32">
        <v>46063</v>
      </c>
      <c r="E97" s="121">
        <v>9600</v>
      </c>
      <c r="F97" s="121">
        <v>145400</v>
      </c>
      <c r="G97" s="121">
        <v>128300</v>
      </c>
      <c r="H97" s="121">
        <v>17100</v>
      </c>
      <c r="I97" s="34">
        <v>45989</v>
      </c>
      <c r="J97" s="30">
        <v>9944084905</v>
      </c>
      <c r="K97" s="39" t="s">
        <v>175</v>
      </c>
      <c r="L97" s="115" t="s">
        <v>515</v>
      </c>
      <c r="M97" s="111"/>
      <c r="N97" s="111"/>
    </row>
    <row r="98" spans="1:14" ht="21" x14ac:dyDescent="0.4">
      <c r="A98" s="30" t="s">
        <v>193</v>
      </c>
      <c r="B98" s="30" t="s">
        <v>194</v>
      </c>
      <c r="C98" s="32">
        <v>45483</v>
      </c>
      <c r="D98" s="32">
        <v>46063</v>
      </c>
      <c r="E98" s="121">
        <v>4800</v>
      </c>
      <c r="F98" s="121">
        <v>72700</v>
      </c>
      <c r="G98" s="121">
        <v>72700</v>
      </c>
      <c r="H98" s="119">
        <v>0</v>
      </c>
      <c r="I98" s="34">
        <v>45988</v>
      </c>
      <c r="J98" s="30">
        <v>9865522901</v>
      </c>
      <c r="K98" s="39" t="s">
        <v>195</v>
      </c>
      <c r="L98" s="115" t="s">
        <v>515</v>
      </c>
      <c r="M98" s="111"/>
      <c r="N98" s="111"/>
    </row>
    <row r="99" spans="1:14" ht="21" x14ac:dyDescent="0.4">
      <c r="A99" s="30" t="s">
        <v>196</v>
      </c>
      <c r="B99" s="30" t="s">
        <v>197</v>
      </c>
      <c r="C99" s="32">
        <v>45493</v>
      </c>
      <c r="D99" s="32">
        <v>46073</v>
      </c>
      <c r="E99" s="121">
        <v>3600</v>
      </c>
      <c r="F99" s="121">
        <v>56900</v>
      </c>
      <c r="G99" s="121">
        <v>38050</v>
      </c>
      <c r="H99" s="121">
        <v>18850</v>
      </c>
      <c r="I99" s="34">
        <v>45981</v>
      </c>
      <c r="J99" s="30">
        <v>9443694527</v>
      </c>
      <c r="K99" s="39" t="s">
        <v>175</v>
      </c>
      <c r="L99" s="115" t="s">
        <v>515</v>
      </c>
      <c r="M99" s="111"/>
      <c r="N99" s="111"/>
    </row>
    <row r="100" spans="1:14" ht="21" x14ac:dyDescent="0.4">
      <c r="A100" s="30" t="s">
        <v>198</v>
      </c>
      <c r="B100" s="30" t="s">
        <v>199</v>
      </c>
      <c r="C100" s="32">
        <v>45514</v>
      </c>
      <c r="D100" s="32">
        <v>46091</v>
      </c>
      <c r="E100" s="121">
        <v>9300</v>
      </c>
      <c r="F100" s="121">
        <v>135800</v>
      </c>
      <c r="G100" s="121">
        <v>135800</v>
      </c>
      <c r="H100" s="119">
        <v>0</v>
      </c>
      <c r="I100" s="34">
        <v>45993</v>
      </c>
      <c r="J100" s="30">
        <v>9940702677</v>
      </c>
      <c r="K100" s="39" t="s">
        <v>175</v>
      </c>
      <c r="L100" s="115" t="s">
        <v>515</v>
      </c>
      <c r="M100" s="111"/>
      <c r="N100" s="111"/>
    </row>
    <row r="101" spans="1:14" ht="21" x14ac:dyDescent="0.4">
      <c r="A101" s="30" t="s">
        <v>200</v>
      </c>
      <c r="B101" s="30" t="s">
        <v>201</v>
      </c>
      <c r="C101" s="32">
        <v>45514</v>
      </c>
      <c r="D101" s="32">
        <v>46091</v>
      </c>
      <c r="E101" s="121">
        <v>9300</v>
      </c>
      <c r="F101" s="121">
        <v>135800</v>
      </c>
      <c r="G101" s="121">
        <v>135800</v>
      </c>
      <c r="H101" s="119">
        <v>0</v>
      </c>
      <c r="I101" s="34">
        <v>45992</v>
      </c>
      <c r="J101" s="30">
        <v>9677626220</v>
      </c>
      <c r="K101" s="39" t="s">
        <v>175</v>
      </c>
      <c r="L101" s="115" t="s">
        <v>515</v>
      </c>
      <c r="M101" s="111"/>
      <c r="N101" s="111"/>
    </row>
    <row r="102" spans="1:14" ht="21" x14ac:dyDescent="0.4">
      <c r="A102" s="30" t="s">
        <v>202</v>
      </c>
      <c r="B102" s="30" t="s">
        <v>203</v>
      </c>
      <c r="C102" s="32">
        <v>45545</v>
      </c>
      <c r="D102" s="32">
        <v>46122</v>
      </c>
      <c r="E102" s="121">
        <v>13650</v>
      </c>
      <c r="F102" s="121">
        <v>189750</v>
      </c>
      <c r="G102" s="121">
        <v>191500</v>
      </c>
      <c r="H102" s="121">
        <v>0</v>
      </c>
      <c r="I102" s="34">
        <v>45994</v>
      </c>
      <c r="J102" s="30">
        <v>9842786338</v>
      </c>
      <c r="K102" s="39" t="s">
        <v>17</v>
      </c>
      <c r="L102" s="115" t="s">
        <v>515</v>
      </c>
      <c r="M102" s="111"/>
      <c r="N102" s="111"/>
    </row>
    <row r="103" spans="1:14" ht="21" x14ac:dyDescent="0.4">
      <c r="A103" s="30" t="s">
        <v>204</v>
      </c>
      <c r="B103" s="30" t="s">
        <v>205</v>
      </c>
      <c r="C103" s="32">
        <v>45590</v>
      </c>
      <c r="D103" s="32">
        <v>46167</v>
      </c>
      <c r="E103" s="121">
        <v>8950</v>
      </c>
      <c r="F103" s="121">
        <v>117400</v>
      </c>
      <c r="G103" s="121">
        <v>117400</v>
      </c>
      <c r="H103" s="119">
        <v>0</v>
      </c>
      <c r="I103" s="34">
        <v>45993</v>
      </c>
      <c r="J103" s="30">
        <v>9842742062</v>
      </c>
      <c r="K103" s="39" t="s">
        <v>175</v>
      </c>
      <c r="L103" s="115" t="s">
        <v>515</v>
      </c>
      <c r="M103" s="111"/>
      <c r="N103" s="111"/>
    </row>
    <row r="104" spans="1:14" ht="21" x14ac:dyDescent="0.4">
      <c r="A104" s="30" t="s">
        <v>206</v>
      </c>
      <c r="B104" s="30" t="s">
        <v>207</v>
      </c>
      <c r="C104" s="32">
        <v>45590</v>
      </c>
      <c r="D104" s="32">
        <v>46167</v>
      </c>
      <c r="E104" s="121">
        <v>4475</v>
      </c>
      <c r="F104" s="121">
        <v>58700</v>
      </c>
      <c r="G104" s="121">
        <v>57300</v>
      </c>
      <c r="H104" s="121">
        <v>1400</v>
      </c>
      <c r="I104" s="34">
        <v>45993</v>
      </c>
      <c r="J104" s="30">
        <v>9787806780</v>
      </c>
      <c r="K104" s="39" t="s">
        <v>36</v>
      </c>
      <c r="L104" s="115" t="s">
        <v>515</v>
      </c>
      <c r="M104" s="111"/>
      <c r="N104" s="111"/>
    </row>
    <row r="105" spans="1:14" ht="21" x14ac:dyDescent="0.4">
      <c r="A105" s="30" t="s">
        <v>208</v>
      </c>
      <c r="B105" s="30" t="s">
        <v>209</v>
      </c>
      <c r="C105" s="32">
        <v>45621</v>
      </c>
      <c r="D105" s="32">
        <v>46198</v>
      </c>
      <c r="E105" s="121">
        <v>4400</v>
      </c>
      <c r="F105" s="121">
        <v>54225</v>
      </c>
      <c r="G105" s="121">
        <v>35400</v>
      </c>
      <c r="H105" s="121">
        <v>18825</v>
      </c>
      <c r="I105" s="34">
        <v>45989</v>
      </c>
      <c r="J105" s="30">
        <v>8270369405</v>
      </c>
      <c r="K105" s="39" t="s">
        <v>85</v>
      </c>
      <c r="L105" s="115" t="s">
        <v>515</v>
      </c>
      <c r="M105" s="111"/>
      <c r="N105" s="111"/>
    </row>
    <row r="106" spans="1:14" ht="21" x14ac:dyDescent="0.4">
      <c r="A106" s="30" t="s">
        <v>210</v>
      </c>
      <c r="B106" s="30" t="s">
        <v>211</v>
      </c>
      <c r="C106" s="32">
        <v>45651</v>
      </c>
      <c r="D106" s="32">
        <v>46228</v>
      </c>
      <c r="E106" s="121">
        <v>4300</v>
      </c>
      <c r="F106" s="121">
        <v>49825</v>
      </c>
      <c r="G106" s="121">
        <v>45200</v>
      </c>
      <c r="H106" s="121">
        <f>F106-G106</f>
        <v>4625</v>
      </c>
      <c r="I106" s="34">
        <v>45957</v>
      </c>
      <c r="J106" s="30">
        <v>8883825328</v>
      </c>
      <c r="K106" s="39" t="s">
        <v>36</v>
      </c>
      <c r="L106" s="115" t="s">
        <v>515</v>
      </c>
      <c r="M106" s="111"/>
      <c r="N106" s="111"/>
    </row>
    <row r="107" spans="1:14" ht="21" x14ac:dyDescent="0.4">
      <c r="A107" s="41" t="s">
        <v>212</v>
      </c>
      <c r="B107" s="41" t="s">
        <v>213</v>
      </c>
      <c r="C107" s="42">
        <v>45682</v>
      </c>
      <c r="D107" s="42">
        <v>46259</v>
      </c>
      <c r="E107" s="122">
        <v>8450</v>
      </c>
      <c r="F107" s="122">
        <v>91050</v>
      </c>
      <c r="G107" s="122">
        <v>72700</v>
      </c>
      <c r="H107" s="122">
        <v>18350</v>
      </c>
      <c r="I107" s="48">
        <v>45993</v>
      </c>
      <c r="J107" s="41">
        <v>7010705093</v>
      </c>
      <c r="K107" s="43" t="s">
        <v>175</v>
      </c>
      <c r="L107" s="115" t="s">
        <v>515</v>
      </c>
      <c r="M107" s="111"/>
      <c r="N107" s="111"/>
    </row>
    <row r="108" spans="1:14" ht="21" x14ac:dyDescent="0.4">
      <c r="A108" s="30" t="s">
        <v>214</v>
      </c>
      <c r="B108" s="30" t="s">
        <v>215</v>
      </c>
      <c r="C108" s="32">
        <v>45713</v>
      </c>
      <c r="D108" s="32">
        <v>46290</v>
      </c>
      <c r="E108" s="121">
        <v>20000</v>
      </c>
      <c r="F108" s="121">
        <v>65000</v>
      </c>
      <c r="G108" s="121">
        <v>47600</v>
      </c>
      <c r="H108" s="121">
        <v>17400</v>
      </c>
      <c r="I108" s="34">
        <v>45993</v>
      </c>
      <c r="J108" s="30">
        <v>9344970951</v>
      </c>
      <c r="K108" s="39" t="s">
        <v>85</v>
      </c>
      <c r="L108" s="115" t="s">
        <v>515</v>
      </c>
      <c r="M108" s="111"/>
      <c r="N108" s="111"/>
    </row>
    <row r="109" spans="1:14" ht="21" x14ac:dyDescent="0.4">
      <c r="A109" s="30" t="s">
        <v>216</v>
      </c>
      <c r="B109" s="30" t="s">
        <v>217</v>
      </c>
      <c r="C109" s="32">
        <v>45741</v>
      </c>
      <c r="D109" s="32">
        <v>46320</v>
      </c>
      <c r="E109" s="121">
        <v>4100</v>
      </c>
      <c r="F109" s="121">
        <v>37150</v>
      </c>
      <c r="G109" s="121">
        <v>5000</v>
      </c>
      <c r="H109" s="121">
        <v>32150</v>
      </c>
      <c r="I109" s="34">
        <v>45901</v>
      </c>
      <c r="J109" s="30">
        <v>7667662797</v>
      </c>
      <c r="K109" s="39" t="s">
        <v>175</v>
      </c>
      <c r="L109" s="115" t="s">
        <v>515</v>
      </c>
      <c r="M109" s="111"/>
      <c r="N109" s="111"/>
    </row>
    <row r="110" spans="1:14" ht="21" x14ac:dyDescent="0.4">
      <c r="A110" s="30" t="s">
        <v>218</v>
      </c>
      <c r="B110" s="30" t="s">
        <v>219</v>
      </c>
      <c r="C110" s="32">
        <v>45741</v>
      </c>
      <c r="D110" s="32">
        <v>46320</v>
      </c>
      <c r="E110" s="121">
        <v>8200</v>
      </c>
      <c r="F110" s="121">
        <v>74300</v>
      </c>
      <c r="G110" s="121">
        <v>74300</v>
      </c>
      <c r="H110" s="119">
        <v>0</v>
      </c>
      <c r="I110" s="34">
        <v>45989</v>
      </c>
      <c r="J110" s="30">
        <v>7449058951</v>
      </c>
      <c r="K110" s="39" t="s">
        <v>73</v>
      </c>
      <c r="L110" s="115" t="s">
        <v>515</v>
      </c>
      <c r="M110" s="111"/>
      <c r="N110" s="111"/>
    </row>
    <row r="111" spans="1:14" ht="21" x14ac:dyDescent="0.4">
      <c r="A111" s="30" t="s">
        <v>220</v>
      </c>
      <c r="B111" s="30" t="s">
        <v>221</v>
      </c>
      <c r="C111" s="32">
        <v>45741</v>
      </c>
      <c r="D111" s="32">
        <v>46320</v>
      </c>
      <c r="E111" s="121">
        <v>20500</v>
      </c>
      <c r="F111" s="121">
        <v>185750</v>
      </c>
      <c r="G111" s="121">
        <v>185750</v>
      </c>
      <c r="H111" s="119">
        <v>0</v>
      </c>
      <c r="I111" s="34">
        <v>45993</v>
      </c>
      <c r="J111" s="30">
        <v>9498118080</v>
      </c>
      <c r="K111" s="39" t="s">
        <v>36</v>
      </c>
      <c r="L111" s="115" t="s">
        <v>515</v>
      </c>
      <c r="M111" s="111"/>
      <c r="N111" s="111"/>
    </row>
    <row r="112" spans="1:14" ht="21" x14ac:dyDescent="0.4">
      <c r="A112" s="30" t="s">
        <v>222</v>
      </c>
      <c r="B112" s="30" t="s">
        <v>223</v>
      </c>
      <c r="C112" s="32">
        <v>45741</v>
      </c>
      <c r="D112" s="32">
        <v>46320</v>
      </c>
      <c r="E112" s="121">
        <v>28800</v>
      </c>
      <c r="F112" s="121">
        <v>234000</v>
      </c>
      <c r="G112" s="121">
        <v>208000</v>
      </c>
      <c r="H112" s="121">
        <v>26000</v>
      </c>
      <c r="I112" s="34">
        <v>45993</v>
      </c>
      <c r="J112" s="30">
        <v>9940923754</v>
      </c>
      <c r="K112" s="39" t="s">
        <v>175</v>
      </c>
      <c r="L112" s="115" t="s">
        <v>515</v>
      </c>
      <c r="M112" s="111"/>
      <c r="N112" s="111"/>
    </row>
    <row r="113" spans="1:14" ht="21" x14ac:dyDescent="0.4">
      <c r="A113" s="30" t="s">
        <v>224</v>
      </c>
      <c r="B113" s="30" t="s">
        <v>225</v>
      </c>
      <c r="C113" s="32">
        <v>45741</v>
      </c>
      <c r="D113" s="32">
        <v>46320</v>
      </c>
      <c r="E113" s="121">
        <v>8200</v>
      </c>
      <c r="F113" s="121">
        <v>76300</v>
      </c>
      <c r="G113" s="121">
        <v>53850</v>
      </c>
      <c r="H113" s="121">
        <v>22450</v>
      </c>
      <c r="I113" s="34">
        <v>45993</v>
      </c>
      <c r="J113" s="30">
        <v>8778007493</v>
      </c>
      <c r="K113" s="39" t="s">
        <v>36</v>
      </c>
      <c r="L113" s="115" t="s">
        <v>515</v>
      </c>
      <c r="M113" s="111"/>
      <c r="N113" s="111"/>
    </row>
    <row r="114" spans="1:14" ht="21" x14ac:dyDescent="0.4">
      <c r="A114" s="30" t="s">
        <v>226</v>
      </c>
      <c r="B114" s="30" t="s">
        <v>227</v>
      </c>
      <c r="C114" s="32">
        <v>45741</v>
      </c>
      <c r="D114" s="32">
        <v>46320</v>
      </c>
      <c r="E114" s="121">
        <v>40500</v>
      </c>
      <c r="F114" s="121">
        <v>330500</v>
      </c>
      <c r="G114" s="121">
        <v>158100</v>
      </c>
      <c r="H114" s="121">
        <v>172400</v>
      </c>
      <c r="I114" s="34">
        <v>45967</v>
      </c>
      <c r="J114" s="30">
        <v>9894921681</v>
      </c>
      <c r="K114" s="39" t="s">
        <v>17</v>
      </c>
      <c r="L114" s="115" t="s">
        <v>515</v>
      </c>
      <c r="M114" s="111"/>
      <c r="N114" s="111"/>
    </row>
    <row r="115" spans="1:14" ht="21" x14ac:dyDescent="0.4">
      <c r="A115" s="30" t="s">
        <v>228</v>
      </c>
      <c r="B115" s="30" t="s">
        <v>229</v>
      </c>
      <c r="C115" s="32">
        <v>45772</v>
      </c>
      <c r="D115" s="32">
        <v>46351</v>
      </c>
      <c r="E115" s="121">
        <v>4050</v>
      </c>
      <c r="F115" s="121">
        <v>33050</v>
      </c>
      <c r="G115" s="121">
        <v>33050</v>
      </c>
      <c r="H115" s="119">
        <v>0</v>
      </c>
      <c r="I115" s="34">
        <v>45993</v>
      </c>
      <c r="J115" s="30">
        <v>9597777121</v>
      </c>
      <c r="K115" s="39" t="s">
        <v>175</v>
      </c>
      <c r="L115" s="115" t="s">
        <v>515</v>
      </c>
      <c r="M115" s="111"/>
      <c r="N115" s="111"/>
    </row>
    <row r="116" spans="1:14" ht="21" x14ac:dyDescent="0.4">
      <c r="A116" s="30" t="s">
        <v>230</v>
      </c>
      <c r="B116" s="30" t="s">
        <v>231</v>
      </c>
      <c r="C116" s="32">
        <v>45772</v>
      </c>
      <c r="D116" s="32">
        <v>46351</v>
      </c>
      <c r="E116" s="121">
        <v>8100</v>
      </c>
      <c r="F116" s="121">
        <v>66100</v>
      </c>
      <c r="G116" s="121">
        <v>41300</v>
      </c>
      <c r="H116" s="121">
        <v>24800</v>
      </c>
      <c r="I116" s="34">
        <v>45993</v>
      </c>
      <c r="J116" s="30">
        <v>8489393639</v>
      </c>
      <c r="K116" s="39" t="s">
        <v>17</v>
      </c>
      <c r="L116" s="115" t="s">
        <v>515</v>
      </c>
      <c r="M116" s="112"/>
      <c r="N116" s="112"/>
    </row>
    <row r="117" spans="1:14" ht="21" x14ac:dyDescent="0.4">
      <c r="A117" s="30" t="s">
        <v>232</v>
      </c>
      <c r="B117" s="30" t="s">
        <v>233</v>
      </c>
      <c r="C117" s="32">
        <v>45772</v>
      </c>
      <c r="D117" s="32">
        <v>46351</v>
      </c>
      <c r="E117" s="121">
        <v>9300</v>
      </c>
      <c r="F117" s="121">
        <v>68400</v>
      </c>
      <c r="G117" s="121">
        <v>68400</v>
      </c>
      <c r="H117" s="119">
        <v>0</v>
      </c>
      <c r="I117" s="34">
        <v>45993</v>
      </c>
      <c r="J117" s="30">
        <v>9489797045</v>
      </c>
      <c r="K117" s="39" t="s">
        <v>17</v>
      </c>
      <c r="L117" s="115" t="s">
        <v>515</v>
      </c>
      <c r="M117" s="111"/>
      <c r="N117" s="111"/>
    </row>
    <row r="118" spans="1:14" ht="21" x14ac:dyDescent="0.4">
      <c r="A118" s="30" t="s">
        <v>234</v>
      </c>
      <c r="B118" s="30" t="s">
        <v>235</v>
      </c>
      <c r="C118" s="32">
        <v>45772</v>
      </c>
      <c r="D118" s="32">
        <v>46351</v>
      </c>
      <c r="E118" s="121">
        <v>16000</v>
      </c>
      <c r="F118" s="121">
        <v>132000</v>
      </c>
      <c r="G118" s="121">
        <v>117300</v>
      </c>
      <c r="H118" s="121">
        <v>14700</v>
      </c>
      <c r="I118" s="34">
        <v>45993</v>
      </c>
      <c r="J118" s="30">
        <v>9791277338</v>
      </c>
      <c r="K118" s="39" t="s">
        <v>17</v>
      </c>
      <c r="L118" s="115" t="s">
        <v>515</v>
      </c>
      <c r="M118" s="111"/>
      <c r="N118" s="111"/>
    </row>
    <row r="119" spans="1:14" ht="21" x14ac:dyDescent="0.4">
      <c r="A119" s="30" t="s">
        <v>236</v>
      </c>
      <c r="B119" s="30" t="s">
        <v>237</v>
      </c>
      <c r="C119" s="32">
        <v>45802</v>
      </c>
      <c r="D119" s="32">
        <v>46381</v>
      </c>
      <c r="E119" s="121">
        <v>20000</v>
      </c>
      <c r="F119" s="121">
        <v>145000</v>
      </c>
      <c r="G119" s="121">
        <v>105400</v>
      </c>
      <c r="H119" s="121">
        <v>39600</v>
      </c>
      <c r="I119" s="34">
        <v>45992</v>
      </c>
      <c r="J119" s="30">
        <v>9940381378</v>
      </c>
      <c r="K119" s="39" t="s">
        <v>175</v>
      </c>
      <c r="L119" s="115" t="s">
        <v>515</v>
      </c>
      <c r="M119" s="111"/>
      <c r="N119" s="111"/>
    </row>
    <row r="120" spans="1:14" ht="21" x14ac:dyDescent="0.4">
      <c r="A120" s="30" t="s">
        <v>238</v>
      </c>
      <c r="B120" s="30" t="s">
        <v>239</v>
      </c>
      <c r="C120" s="32">
        <v>45863</v>
      </c>
      <c r="D120" s="32">
        <v>46443</v>
      </c>
      <c r="E120" s="121">
        <v>4000</v>
      </c>
      <c r="F120" s="121">
        <v>25000</v>
      </c>
      <c r="G120" s="121">
        <v>25000</v>
      </c>
      <c r="H120" s="119">
        <v>0</v>
      </c>
      <c r="I120" s="34">
        <v>45988</v>
      </c>
      <c r="J120" s="30">
        <v>7010908505</v>
      </c>
      <c r="K120" s="39" t="s">
        <v>175</v>
      </c>
      <c r="L120" s="115" t="s">
        <v>515</v>
      </c>
      <c r="M120" s="111"/>
      <c r="N120" s="111"/>
    </row>
    <row r="121" spans="1:14" ht="21" x14ac:dyDescent="0.4">
      <c r="A121" s="30" t="s">
        <v>222</v>
      </c>
      <c r="B121" s="30" t="s">
        <v>240</v>
      </c>
      <c r="C121" s="32">
        <v>45802</v>
      </c>
      <c r="D121" s="32">
        <v>46381</v>
      </c>
      <c r="E121" s="121">
        <v>17600</v>
      </c>
      <c r="F121" s="121">
        <v>118200</v>
      </c>
      <c r="G121" s="121">
        <v>116500</v>
      </c>
      <c r="H121" s="121">
        <v>1700</v>
      </c>
      <c r="I121" s="34">
        <v>45993</v>
      </c>
      <c r="J121" s="30">
        <v>9940923754</v>
      </c>
      <c r="K121" s="39" t="s">
        <v>175</v>
      </c>
      <c r="L121" s="115" t="s">
        <v>515</v>
      </c>
      <c r="M121" s="111"/>
      <c r="N121" s="111"/>
    </row>
    <row r="122" spans="1:14" ht="21" x14ac:dyDescent="0.4">
      <c r="A122" s="30" t="s">
        <v>241</v>
      </c>
      <c r="B122" s="30" t="s">
        <v>242</v>
      </c>
      <c r="C122" s="32">
        <v>45422</v>
      </c>
      <c r="D122" s="32">
        <v>46001</v>
      </c>
      <c r="E122" s="121">
        <v>4000</v>
      </c>
      <c r="F122" s="121">
        <v>25000</v>
      </c>
      <c r="G122" s="121">
        <v>4000</v>
      </c>
      <c r="H122" s="121">
        <v>21000</v>
      </c>
      <c r="I122" s="34">
        <v>45839</v>
      </c>
      <c r="J122" s="30">
        <v>8098927191</v>
      </c>
      <c r="K122" s="39" t="s">
        <v>175</v>
      </c>
      <c r="L122" s="115" t="s">
        <v>515</v>
      </c>
      <c r="M122" s="111"/>
      <c r="N122" s="111"/>
    </row>
    <row r="123" spans="1:14" ht="21" x14ac:dyDescent="0.4">
      <c r="A123" s="30" t="s">
        <v>243</v>
      </c>
      <c r="B123" s="30" t="s">
        <v>244</v>
      </c>
      <c r="C123" s="32">
        <v>45833</v>
      </c>
      <c r="D123" s="32">
        <v>46412</v>
      </c>
      <c r="E123" s="121">
        <v>4000</v>
      </c>
      <c r="F123" s="121">
        <v>21000</v>
      </c>
      <c r="G123" s="121">
        <v>21000</v>
      </c>
      <c r="H123" s="119">
        <v>0</v>
      </c>
      <c r="I123" s="34">
        <v>45989</v>
      </c>
      <c r="J123" s="30">
        <v>9629142783</v>
      </c>
      <c r="K123" s="39" t="s">
        <v>73</v>
      </c>
      <c r="L123" s="115" t="s">
        <v>515</v>
      </c>
      <c r="M123" s="111"/>
      <c r="N123" s="111"/>
    </row>
    <row r="124" spans="1:14" ht="21" x14ac:dyDescent="0.4">
      <c r="A124" s="30" t="s">
        <v>245</v>
      </c>
      <c r="B124" s="30" t="s">
        <v>246</v>
      </c>
      <c r="C124" s="32">
        <v>45833</v>
      </c>
      <c r="D124" s="32">
        <v>46412</v>
      </c>
      <c r="E124" s="121">
        <v>4000</v>
      </c>
      <c r="F124" s="121">
        <v>21000</v>
      </c>
      <c r="G124" s="121">
        <v>21000</v>
      </c>
      <c r="H124" s="119">
        <v>0</v>
      </c>
      <c r="I124" s="34">
        <v>45993</v>
      </c>
      <c r="J124" s="30">
        <v>8778660088</v>
      </c>
      <c r="K124" s="39" t="s">
        <v>73</v>
      </c>
      <c r="L124" s="115" t="s">
        <v>515</v>
      </c>
      <c r="M124" s="111"/>
      <c r="N124" s="111"/>
    </row>
    <row r="125" spans="1:14" ht="21" x14ac:dyDescent="0.4">
      <c r="A125" s="30" t="s">
        <v>248</v>
      </c>
      <c r="B125" s="30" t="s">
        <v>54</v>
      </c>
      <c r="C125" s="32">
        <v>45863</v>
      </c>
      <c r="D125" s="32">
        <v>46443</v>
      </c>
      <c r="E125" s="121">
        <v>4000</v>
      </c>
      <c r="F125" s="121">
        <v>21000</v>
      </c>
      <c r="G125" s="121">
        <v>21000</v>
      </c>
      <c r="H125" s="119">
        <v>0</v>
      </c>
      <c r="I125" s="34">
        <v>45993</v>
      </c>
      <c r="J125" s="30">
        <v>9788234208</v>
      </c>
      <c r="K125" s="39" t="s">
        <v>247</v>
      </c>
      <c r="L125" s="115" t="s">
        <v>515</v>
      </c>
      <c r="M125" s="111"/>
      <c r="N125" s="111"/>
    </row>
    <row r="126" spans="1:14" ht="21" x14ac:dyDescent="0.4">
      <c r="A126" s="30" t="s">
        <v>249</v>
      </c>
      <c r="B126" s="30" t="s">
        <v>250</v>
      </c>
      <c r="C126" s="32">
        <v>45741</v>
      </c>
      <c r="D126" s="32">
        <v>46320</v>
      </c>
      <c r="E126" s="121">
        <v>16000</v>
      </c>
      <c r="F126" s="121">
        <v>84000</v>
      </c>
      <c r="G126" s="121">
        <v>77950</v>
      </c>
      <c r="H126" s="121">
        <v>6050</v>
      </c>
      <c r="I126" s="34">
        <v>45993</v>
      </c>
      <c r="J126" s="30">
        <v>9445254111</v>
      </c>
      <c r="K126" s="39" t="s">
        <v>85</v>
      </c>
      <c r="L126" s="115" t="s">
        <v>515</v>
      </c>
      <c r="M126" s="111"/>
      <c r="N126" s="111"/>
    </row>
    <row r="127" spans="1:14" ht="21" x14ac:dyDescent="0.4">
      <c r="A127" s="30" t="s">
        <v>251</v>
      </c>
      <c r="B127" s="30" t="s">
        <v>252</v>
      </c>
      <c r="C127" s="32">
        <v>45894</v>
      </c>
      <c r="D127" s="32">
        <v>46451</v>
      </c>
      <c r="E127" s="121">
        <v>20000</v>
      </c>
      <c r="F127" s="121">
        <v>85000</v>
      </c>
      <c r="G127" s="121">
        <v>85000</v>
      </c>
      <c r="H127" s="119">
        <v>0</v>
      </c>
      <c r="I127" s="34">
        <v>45993</v>
      </c>
      <c r="J127" s="30">
        <v>9677602086</v>
      </c>
      <c r="K127" s="39" t="s">
        <v>253</v>
      </c>
      <c r="L127" s="115" t="s">
        <v>515</v>
      </c>
      <c r="M127" s="111"/>
      <c r="N127" s="111"/>
    </row>
    <row r="128" spans="1:14" ht="21" x14ac:dyDescent="0.4">
      <c r="A128" s="30" t="s">
        <v>254</v>
      </c>
      <c r="B128" s="30" t="s">
        <v>235</v>
      </c>
      <c r="C128" s="32">
        <v>45925</v>
      </c>
      <c r="D128" s="32">
        <v>46502</v>
      </c>
      <c r="E128" s="121">
        <v>16000</v>
      </c>
      <c r="F128" s="121">
        <v>52000</v>
      </c>
      <c r="G128" s="121">
        <v>52000</v>
      </c>
      <c r="H128" s="119">
        <v>0</v>
      </c>
      <c r="I128" s="34">
        <v>45993</v>
      </c>
      <c r="J128" s="30">
        <v>9894989751</v>
      </c>
      <c r="K128" s="39" t="s">
        <v>253</v>
      </c>
      <c r="L128" s="115" t="s">
        <v>515</v>
      </c>
      <c r="M128" s="111"/>
      <c r="N128" s="111"/>
    </row>
    <row r="129" spans="1:14" ht="21" x14ac:dyDescent="0.4">
      <c r="A129" s="30" t="s">
        <v>255</v>
      </c>
      <c r="B129" s="30" t="s">
        <v>256</v>
      </c>
      <c r="C129" s="32">
        <v>45925</v>
      </c>
      <c r="D129" s="32">
        <v>46502</v>
      </c>
      <c r="E129" s="121">
        <v>40000</v>
      </c>
      <c r="F129" s="121">
        <v>130000</v>
      </c>
      <c r="G129" s="121">
        <v>115500</v>
      </c>
      <c r="H129" s="121">
        <v>14500</v>
      </c>
      <c r="I129" s="34">
        <v>45992</v>
      </c>
      <c r="J129" s="30">
        <v>8012320392</v>
      </c>
      <c r="K129" s="39" t="s">
        <v>253</v>
      </c>
      <c r="L129" s="115" t="s">
        <v>515</v>
      </c>
      <c r="M129" s="111"/>
      <c r="N129" s="111"/>
    </row>
    <row r="130" spans="1:14" ht="21" x14ac:dyDescent="0.4">
      <c r="A130" s="22" t="s">
        <v>257</v>
      </c>
      <c r="B130" s="30" t="s">
        <v>258</v>
      </c>
      <c r="C130" s="34">
        <v>45925</v>
      </c>
      <c r="D130" s="34">
        <v>46502</v>
      </c>
      <c r="E130" s="121">
        <v>12000</v>
      </c>
      <c r="F130" s="121">
        <v>39000</v>
      </c>
      <c r="G130" s="121">
        <v>38500</v>
      </c>
      <c r="H130" s="121">
        <v>500</v>
      </c>
      <c r="I130" s="34">
        <v>45993</v>
      </c>
      <c r="J130" s="30">
        <v>7708221188</v>
      </c>
      <c r="K130" s="39" t="s">
        <v>253</v>
      </c>
      <c r="L130" s="115" t="s">
        <v>515</v>
      </c>
      <c r="M130" s="111"/>
      <c r="N130" s="111"/>
    </row>
    <row r="131" spans="1:14" ht="21" x14ac:dyDescent="0.4">
      <c r="A131" s="22" t="s">
        <v>259</v>
      </c>
      <c r="B131" s="30" t="s">
        <v>260</v>
      </c>
      <c r="C131" s="34">
        <v>45925</v>
      </c>
      <c r="D131" s="34">
        <v>46502</v>
      </c>
      <c r="E131" s="121">
        <v>12000</v>
      </c>
      <c r="F131" s="121">
        <v>27000</v>
      </c>
      <c r="G131" s="121">
        <v>13000</v>
      </c>
      <c r="H131" s="121">
        <v>14000</v>
      </c>
      <c r="I131" s="34">
        <v>45933</v>
      </c>
      <c r="J131" s="30">
        <v>9865572641</v>
      </c>
      <c r="K131" s="39" t="s">
        <v>17</v>
      </c>
      <c r="L131" s="115" t="s">
        <v>515</v>
      </c>
      <c r="M131" s="111"/>
      <c r="N131" s="111"/>
    </row>
    <row r="132" spans="1:14" ht="21" x14ac:dyDescent="0.4">
      <c r="A132" s="22" t="s">
        <v>261</v>
      </c>
      <c r="B132" s="30" t="s">
        <v>262</v>
      </c>
      <c r="C132" s="34">
        <v>45925</v>
      </c>
      <c r="D132" s="34">
        <v>46502</v>
      </c>
      <c r="E132" s="121">
        <v>40000</v>
      </c>
      <c r="F132" s="121">
        <v>130000</v>
      </c>
      <c r="G132" s="121">
        <v>130000</v>
      </c>
      <c r="H132" s="119">
        <v>0</v>
      </c>
      <c r="I132" s="34">
        <v>45993</v>
      </c>
      <c r="J132" s="30">
        <v>9655877222</v>
      </c>
      <c r="K132" s="39" t="s">
        <v>17</v>
      </c>
      <c r="L132" s="115" t="s">
        <v>515</v>
      </c>
      <c r="M132" s="111"/>
      <c r="N132" s="111"/>
    </row>
    <row r="133" spans="1:14" ht="21" x14ac:dyDescent="0.4">
      <c r="A133" s="22" t="s">
        <v>263</v>
      </c>
      <c r="B133" s="30" t="s">
        <v>264</v>
      </c>
      <c r="C133" s="34">
        <v>45925</v>
      </c>
      <c r="D133" s="34">
        <v>46502</v>
      </c>
      <c r="E133" s="121">
        <v>40000</v>
      </c>
      <c r="F133" s="121">
        <v>130000</v>
      </c>
      <c r="G133" s="121">
        <v>130000</v>
      </c>
      <c r="H133" s="119">
        <v>0</v>
      </c>
      <c r="I133" s="34">
        <v>45993</v>
      </c>
      <c r="J133" s="30">
        <v>9566841666</v>
      </c>
      <c r="K133" s="39" t="s">
        <v>17</v>
      </c>
      <c r="L133" s="115" t="s">
        <v>515</v>
      </c>
      <c r="M133" s="111"/>
      <c r="N133" s="111"/>
    </row>
    <row r="134" spans="1:14" ht="21" x14ac:dyDescent="0.4">
      <c r="A134" s="22" t="s">
        <v>265</v>
      </c>
      <c r="B134" s="30" t="s">
        <v>266</v>
      </c>
      <c r="C134" s="34">
        <v>45925</v>
      </c>
      <c r="D134" s="34">
        <v>46502</v>
      </c>
      <c r="E134" s="121">
        <v>80000</v>
      </c>
      <c r="F134" s="121">
        <v>340000</v>
      </c>
      <c r="G134" s="121">
        <v>340000</v>
      </c>
      <c r="H134" s="119">
        <v>0</v>
      </c>
      <c r="I134" s="34">
        <v>45990</v>
      </c>
      <c r="J134" s="30">
        <v>9597343459</v>
      </c>
      <c r="K134" s="39" t="s">
        <v>17</v>
      </c>
      <c r="L134" s="115" t="s">
        <v>515</v>
      </c>
      <c r="M134" s="111"/>
      <c r="N134" s="111"/>
    </row>
    <row r="135" spans="1:14" ht="21" x14ac:dyDescent="0.4">
      <c r="A135" s="22" t="s">
        <v>267</v>
      </c>
      <c r="B135" s="22" t="s">
        <v>268</v>
      </c>
      <c r="C135" s="34">
        <v>45925</v>
      </c>
      <c r="D135" s="34">
        <v>46502</v>
      </c>
      <c r="E135" s="121">
        <v>20000</v>
      </c>
      <c r="F135" s="121">
        <v>65000</v>
      </c>
      <c r="G135" s="121">
        <v>58000</v>
      </c>
      <c r="H135" s="121">
        <v>7000</v>
      </c>
      <c r="I135" s="34">
        <v>45982</v>
      </c>
      <c r="J135" s="30">
        <v>8072321982</v>
      </c>
      <c r="K135" s="45" t="s">
        <v>253</v>
      </c>
      <c r="L135" s="115" t="s">
        <v>515</v>
      </c>
      <c r="M135" s="111"/>
      <c r="N135" s="111"/>
    </row>
    <row r="136" spans="1:14" ht="21" x14ac:dyDescent="0.4">
      <c r="A136" s="22" t="s">
        <v>269</v>
      </c>
      <c r="B136" s="22" t="s">
        <v>270</v>
      </c>
      <c r="C136" s="34">
        <v>45925</v>
      </c>
      <c r="D136" s="34">
        <v>46502</v>
      </c>
      <c r="E136" s="121">
        <v>20000</v>
      </c>
      <c r="F136" s="121">
        <v>65000</v>
      </c>
      <c r="G136" s="121">
        <v>47600</v>
      </c>
      <c r="H136" s="121">
        <v>17400</v>
      </c>
      <c r="I136" s="34">
        <v>45993</v>
      </c>
      <c r="J136" s="30">
        <v>8248919923</v>
      </c>
      <c r="K136" s="45" t="s">
        <v>253</v>
      </c>
      <c r="L136" s="115" t="s">
        <v>515</v>
      </c>
      <c r="M136" s="111"/>
      <c r="N136" s="111"/>
    </row>
    <row r="137" spans="1:14" ht="21" x14ac:dyDescent="0.4">
      <c r="A137" s="22" t="s">
        <v>208</v>
      </c>
      <c r="B137" s="22" t="s">
        <v>271</v>
      </c>
      <c r="C137" s="34">
        <v>45925</v>
      </c>
      <c r="D137" s="34">
        <v>46502</v>
      </c>
      <c r="E137" s="121">
        <v>4000</v>
      </c>
      <c r="F137" s="121">
        <v>13000</v>
      </c>
      <c r="G137" s="121">
        <v>8850</v>
      </c>
      <c r="H137" s="121">
        <v>4150</v>
      </c>
      <c r="I137" s="34">
        <v>45993</v>
      </c>
      <c r="J137" s="22">
        <v>9787105543</v>
      </c>
      <c r="K137" s="45" t="s">
        <v>73</v>
      </c>
      <c r="L137" s="115" t="s">
        <v>515</v>
      </c>
      <c r="M137" s="111"/>
      <c r="N137" s="111"/>
    </row>
    <row r="138" spans="1:14" ht="21" x14ac:dyDescent="0.4">
      <c r="A138" s="22" t="s">
        <v>272</v>
      </c>
      <c r="B138" s="22" t="s">
        <v>273</v>
      </c>
      <c r="C138" s="34">
        <v>45940</v>
      </c>
      <c r="D138" s="34">
        <v>46213</v>
      </c>
      <c r="E138" s="121">
        <v>8000</v>
      </c>
      <c r="F138" s="121">
        <v>26000</v>
      </c>
      <c r="G138" s="121">
        <v>24000</v>
      </c>
      <c r="H138" s="121">
        <v>2000</v>
      </c>
      <c r="I138" s="34">
        <v>45993</v>
      </c>
      <c r="J138" s="30">
        <v>9715187333</v>
      </c>
      <c r="K138" s="45" t="s">
        <v>73</v>
      </c>
      <c r="L138" s="115" t="s">
        <v>515</v>
      </c>
      <c r="M138" s="111"/>
      <c r="N138" s="111"/>
    </row>
    <row r="139" spans="1:14" ht="21" x14ac:dyDescent="0.4">
      <c r="A139" s="22" t="s">
        <v>327</v>
      </c>
      <c r="B139" s="22" t="s">
        <v>328</v>
      </c>
      <c r="C139" s="34">
        <v>45940</v>
      </c>
      <c r="D139" s="34">
        <v>46517</v>
      </c>
      <c r="E139" s="121">
        <v>4000</v>
      </c>
      <c r="F139" s="121">
        <v>9000</v>
      </c>
      <c r="G139" s="121">
        <v>6400</v>
      </c>
      <c r="H139" s="121">
        <v>2600</v>
      </c>
      <c r="I139" s="34">
        <v>45993</v>
      </c>
      <c r="J139" s="30">
        <v>9994059498</v>
      </c>
      <c r="K139" s="45" t="s">
        <v>253</v>
      </c>
      <c r="L139" s="115" t="s">
        <v>515</v>
      </c>
      <c r="M139" s="111"/>
      <c r="N139" s="111"/>
    </row>
    <row r="140" spans="1:14" ht="21" x14ac:dyDescent="0.4">
      <c r="A140" s="47" t="s">
        <v>335</v>
      </c>
      <c r="B140" s="47" t="s">
        <v>336</v>
      </c>
      <c r="C140" s="48">
        <v>45955</v>
      </c>
      <c r="D140" s="48">
        <v>46532</v>
      </c>
      <c r="E140" s="122">
        <v>4000</v>
      </c>
      <c r="F140" s="122">
        <v>9000</v>
      </c>
      <c r="G140" s="122">
        <v>9000</v>
      </c>
      <c r="H140" s="119">
        <v>0</v>
      </c>
      <c r="I140" s="48">
        <v>45993</v>
      </c>
      <c r="J140" s="47">
        <v>9700575144</v>
      </c>
      <c r="K140" s="49" t="s">
        <v>36</v>
      </c>
      <c r="L140" s="115" t="s">
        <v>515</v>
      </c>
      <c r="M140" s="111"/>
      <c r="N140" s="111"/>
    </row>
    <row r="141" spans="1:14" ht="21" x14ac:dyDescent="0.4">
      <c r="A141" s="30" t="s">
        <v>177</v>
      </c>
      <c r="B141" s="30" t="s">
        <v>274</v>
      </c>
      <c r="C141" s="32">
        <v>45392</v>
      </c>
      <c r="D141" s="32">
        <v>45971</v>
      </c>
      <c r="E141" s="121">
        <v>25000</v>
      </c>
      <c r="F141" s="121">
        <v>437500</v>
      </c>
      <c r="G141" s="121">
        <v>211900</v>
      </c>
      <c r="H141" s="123">
        <v>225600</v>
      </c>
      <c r="I141" s="34">
        <v>45607</v>
      </c>
      <c r="J141" s="30">
        <v>9003701260</v>
      </c>
      <c r="K141" s="30" t="s">
        <v>175</v>
      </c>
      <c r="L141" s="115" t="s">
        <v>515</v>
      </c>
      <c r="M141" s="2"/>
      <c r="N141" s="111"/>
    </row>
    <row r="142" spans="1:14" ht="21" x14ac:dyDescent="0.4">
      <c r="A142" s="30" t="s">
        <v>275</v>
      </c>
      <c r="B142" s="30" t="s">
        <v>276</v>
      </c>
      <c r="C142" s="32">
        <v>45463</v>
      </c>
      <c r="D142" s="32">
        <v>46042</v>
      </c>
      <c r="E142" s="121">
        <v>4850</v>
      </c>
      <c r="F142" s="121">
        <v>77550</v>
      </c>
      <c r="G142" s="121">
        <v>42900</v>
      </c>
      <c r="H142" s="121">
        <v>34650</v>
      </c>
      <c r="I142" s="34">
        <v>45708</v>
      </c>
      <c r="J142" s="30">
        <v>7010670525</v>
      </c>
      <c r="K142" s="30" t="s">
        <v>175</v>
      </c>
      <c r="L142" s="115" t="s">
        <v>515</v>
      </c>
      <c r="M142" s="2"/>
      <c r="N142" s="111"/>
    </row>
    <row r="143" spans="1:14" ht="21" x14ac:dyDescent="0.4">
      <c r="A143" s="30" t="s">
        <v>181</v>
      </c>
      <c r="B143" s="30" t="s">
        <v>277</v>
      </c>
      <c r="C143" s="32">
        <v>45392</v>
      </c>
      <c r="D143" s="32">
        <v>45971</v>
      </c>
      <c r="E143" s="121">
        <v>5000</v>
      </c>
      <c r="F143" s="121">
        <v>87500</v>
      </c>
      <c r="G143" s="121">
        <v>66000</v>
      </c>
      <c r="H143" s="121">
        <v>21500</v>
      </c>
      <c r="I143" s="34">
        <v>45887</v>
      </c>
      <c r="J143" s="30">
        <v>9344095096</v>
      </c>
      <c r="K143" s="30" t="s">
        <v>175</v>
      </c>
      <c r="L143" s="115" t="s">
        <v>515</v>
      </c>
      <c r="M143" s="2"/>
      <c r="N143" s="111"/>
    </row>
    <row r="144" spans="1:14" ht="21" x14ac:dyDescent="0.4">
      <c r="A144" s="30" t="s">
        <v>182</v>
      </c>
      <c r="B144" s="30" t="s">
        <v>278</v>
      </c>
      <c r="C144" s="32">
        <v>45392</v>
      </c>
      <c r="D144" s="32">
        <v>45971</v>
      </c>
      <c r="E144" s="121">
        <v>18750</v>
      </c>
      <c r="F144" s="121">
        <v>340000</v>
      </c>
      <c r="G144" s="121">
        <v>196850</v>
      </c>
      <c r="H144" s="121">
        <v>143150</v>
      </c>
      <c r="I144" s="34">
        <v>45988</v>
      </c>
      <c r="J144" s="30">
        <v>9362100768</v>
      </c>
      <c r="K144" s="30" t="s">
        <v>175</v>
      </c>
      <c r="L144" s="115" t="s">
        <v>515</v>
      </c>
      <c r="M144" s="2"/>
    </row>
    <row r="145" spans="1:13" ht="21" x14ac:dyDescent="0.4">
      <c r="A145" s="30" t="s">
        <v>279</v>
      </c>
      <c r="B145" s="30" t="s">
        <v>280</v>
      </c>
      <c r="C145" s="32">
        <v>45392</v>
      </c>
      <c r="D145" s="32">
        <v>45971</v>
      </c>
      <c r="E145" s="121">
        <v>17750</v>
      </c>
      <c r="F145" s="121">
        <v>266500</v>
      </c>
      <c r="G145" s="121">
        <v>250050</v>
      </c>
      <c r="H145" s="121">
        <v>16450</v>
      </c>
      <c r="I145" s="34">
        <v>45978</v>
      </c>
      <c r="J145" s="30">
        <v>9940381378</v>
      </c>
      <c r="K145" s="30" t="s">
        <v>175</v>
      </c>
      <c r="L145" s="115" t="s">
        <v>515</v>
      </c>
      <c r="M145" s="2"/>
    </row>
    <row r="146" spans="1:13" ht="21" x14ac:dyDescent="0.4">
      <c r="A146" s="30" t="s">
        <v>184</v>
      </c>
      <c r="B146" s="30" t="s">
        <v>281</v>
      </c>
      <c r="C146" s="32">
        <v>45392</v>
      </c>
      <c r="D146" s="32">
        <v>45971</v>
      </c>
      <c r="E146" s="121">
        <v>7500</v>
      </c>
      <c r="F146" s="121">
        <v>136000</v>
      </c>
      <c r="G146" s="121">
        <v>77200</v>
      </c>
      <c r="H146" s="121">
        <v>58800</v>
      </c>
      <c r="I146" s="34">
        <v>45959</v>
      </c>
      <c r="J146" s="30">
        <v>9943006535</v>
      </c>
      <c r="K146" s="30" t="s">
        <v>175</v>
      </c>
      <c r="L146" s="115" t="s">
        <v>515</v>
      </c>
      <c r="M146" s="2"/>
    </row>
    <row r="147" spans="1:13" ht="21" x14ac:dyDescent="0.4">
      <c r="A147" s="30" t="s">
        <v>282</v>
      </c>
      <c r="B147" s="30" t="s">
        <v>283</v>
      </c>
      <c r="C147" s="32">
        <v>45422</v>
      </c>
      <c r="D147" s="32">
        <v>46001</v>
      </c>
      <c r="E147" s="121">
        <v>4950</v>
      </c>
      <c r="F147" s="121">
        <v>87500</v>
      </c>
      <c r="G147" s="121">
        <v>82600</v>
      </c>
      <c r="H147" s="121">
        <f>F147-G147</f>
        <v>4900</v>
      </c>
      <c r="I147" s="34">
        <v>45976</v>
      </c>
      <c r="J147" s="30">
        <v>6380204475</v>
      </c>
      <c r="K147" s="30" t="s">
        <v>175</v>
      </c>
      <c r="L147" s="115" t="s">
        <v>515</v>
      </c>
      <c r="M147" s="2"/>
    </row>
    <row r="148" spans="1:13" ht="21" x14ac:dyDescent="0.4">
      <c r="A148" s="30" t="s">
        <v>284</v>
      </c>
      <c r="B148" s="30" t="s">
        <v>285</v>
      </c>
      <c r="C148" s="32">
        <v>45422</v>
      </c>
      <c r="D148" s="32">
        <v>46001</v>
      </c>
      <c r="E148" s="121">
        <v>4950</v>
      </c>
      <c r="F148" s="121">
        <v>82500</v>
      </c>
      <c r="G148" s="121">
        <v>82500</v>
      </c>
      <c r="H148" s="119">
        <v>0</v>
      </c>
      <c r="I148" s="34">
        <v>45980</v>
      </c>
      <c r="J148" s="30">
        <v>8883366465</v>
      </c>
      <c r="K148" s="30" t="s">
        <v>175</v>
      </c>
      <c r="L148" s="115" t="s">
        <v>515</v>
      </c>
      <c r="M148" s="2"/>
    </row>
    <row r="149" spans="1:13" ht="21" x14ac:dyDescent="0.4">
      <c r="A149" s="30" t="s">
        <v>286</v>
      </c>
      <c r="B149" s="30" t="s">
        <v>287</v>
      </c>
      <c r="C149" s="32">
        <v>45514</v>
      </c>
      <c r="D149" s="32">
        <v>46091</v>
      </c>
      <c r="E149" s="121">
        <v>17750</v>
      </c>
      <c r="F149" s="121">
        <v>266500</v>
      </c>
      <c r="G149" s="121">
        <v>254600</v>
      </c>
      <c r="H149" s="121">
        <v>11900</v>
      </c>
      <c r="I149" s="34">
        <v>45993</v>
      </c>
      <c r="J149" s="30">
        <v>9442414554</v>
      </c>
      <c r="K149" s="30" t="s">
        <v>175</v>
      </c>
      <c r="L149" s="115" t="s">
        <v>515</v>
      </c>
      <c r="M149" s="2"/>
    </row>
    <row r="150" spans="1:13" ht="21" x14ac:dyDescent="0.4">
      <c r="A150" s="30" t="s">
        <v>288</v>
      </c>
      <c r="B150" s="30" t="s">
        <v>289</v>
      </c>
      <c r="C150" s="32">
        <v>45483</v>
      </c>
      <c r="D150" s="32">
        <v>46063</v>
      </c>
      <c r="E150" s="121">
        <v>24000</v>
      </c>
      <c r="F150" s="121">
        <v>363500</v>
      </c>
      <c r="G150" s="121">
        <v>363000</v>
      </c>
      <c r="H150" s="121">
        <v>500</v>
      </c>
      <c r="I150" s="34">
        <v>45993</v>
      </c>
      <c r="J150" s="30">
        <v>8072321982</v>
      </c>
      <c r="K150" s="30" t="s">
        <v>175</v>
      </c>
      <c r="L150" s="115" t="s">
        <v>515</v>
      </c>
      <c r="M150" s="2"/>
    </row>
    <row r="151" spans="1:13" ht="21" x14ac:dyDescent="0.4">
      <c r="A151" s="30" t="s">
        <v>290</v>
      </c>
      <c r="B151" s="30" t="s">
        <v>291</v>
      </c>
      <c r="C151" s="32">
        <v>45493</v>
      </c>
      <c r="D151" s="32">
        <v>46073</v>
      </c>
      <c r="E151" s="121">
        <v>24000</v>
      </c>
      <c r="F151" s="121">
        <v>363500</v>
      </c>
      <c r="G151" s="121">
        <v>363500</v>
      </c>
      <c r="H151" s="119">
        <v>0</v>
      </c>
      <c r="I151" s="34">
        <v>45989</v>
      </c>
      <c r="J151" s="30">
        <v>8778171337</v>
      </c>
      <c r="K151" s="30" t="s">
        <v>175</v>
      </c>
      <c r="L151" s="115" t="s">
        <v>515</v>
      </c>
      <c r="M151" s="2"/>
    </row>
    <row r="152" spans="1:13" ht="21" x14ac:dyDescent="0.4">
      <c r="A152" s="30" t="s">
        <v>292</v>
      </c>
      <c r="B152" s="30" t="s">
        <v>293</v>
      </c>
      <c r="C152" s="32">
        <v>45545</v>
      </c>
      <c r="D152" s="32">
        <v>46122</v>
      </c>
      <c r="E152" s="121">
        <v>35000</v>
      </c>
      <c r="F152" s="121">
        <v>497500</v>
      </c>
      <c r="G152" s="121">
        <v>194100</v>
      </c>
      <c r="H152" s="121">
        <v>303400</v>
      </c>
      <c r="I152" s="34">
        <v>45884</v>
      </c>
      <c r="J152" s="30">
        <v>8903224730</v>
      </c>
      <c r="K152" s="30" t="s">
        <v>175</v>
      </c>
      <c r="L152" s="115" t="s">
        <v>515</v>
      </c>
      <c r="M152" s="2"/>
    </row>
    <row r="153" spans="1:13" ht="21" x14ac:dyDescent="0.4">
      <c r="A153" s="30" t="s">
        <v>294</v>
      </c>
      <c r="B153" s="30" t="s">
        <v>295</v>
      </c>
      <c r="C153" s="32">
        <v>45606</v>
      </c>
      <c r="D153" s="32">
        <v>46183</v>
      </c>
      <c r="E153" s="121">
        <v>22000</v>
      </c>
      <c r="F153" s="121">
        <v>271125</v>
      </c>
      <c r="G153" s="121">
        <v>261750</v>
      </c>
      <c r="H153" s="121">
        <v>9375</v>
      </c>
      <c r="I153" s="34">
        <v>45993</v>
      </c>
      <c r="J153" s="30">
        <v>9095571777</v>
      </c>
      <c r="K153" s="30" t="s">
        <v>17</v>
      </c>
      <c r="L153" s="115" t="s">
        <v>515</v>
      </c>
      <c r="M153" s="2"/>
    </row>
    <row r="154" spans="1:13" ht="21" x14ac:dyDescent="0.4">
      <c r="A154" s="30" t="s">
        <v>286</v>
      </c>
      <c r="B154" s="30" t="s">
        <v>296</v>
      </c>
      <c r="C154" s="32">
        <v>45682</v>
      </c>
      <c r="D154" s="32">
        <v>46259</v>
      </c>
      <c r="E154" s="121">
        <v>16250</v>
      </c>
      <c r="F154" s="121">
        <v>180250</v>
      </c>
      <c r="G154" s="121">
        <v>132800</v>
      </c>
      <c r="H154" s="121">
        <v>47450</v>
      </c>
      <c r="I154" s="34">
        <v>45993</v>
      </c>
      <c r="J154" s="30">
        <v>9442414554</v>
      </c>
      <c r="K154" s="30" t="s">
        <v>175</v>
      </c>
      <c r="L154" s="115" t="s">
        <v>515</v>
      </c>
      <c r="M154" s="2"/>
    </row>
    <row r="155" spans="1:13" ht="21" x14ac:dyDescent="0.4">
      <c r="A155" s="30" t="s">
        <v>297</v>
      </c>
      <c r="B155" s="30" t="s">
        <v>298</v>
      </c>
      <c r="C155" s="32">
        <v>45463</v>
      </c>
      <c r="D155" s="32">
        <v>46042</v>
      </c>
      <c r="E155" s="121">
        <v>14550</v>
      </c>
      <c r="F155" s="121">
        <v>232650</v>
      </c>
      <c r="G155" s="121">
        <v>221000</v>
      </c>
      <c r="H155" s="121">
        <v>11650</v>
      </c>
      <c r="I155" s="34">
        <v>45993</v>
      </c>
      <c r="J155" s="30">
        <v>9597373693</v>
      </c>
      <c r="K155" s="30" t="s">
        <v>17</v>
      </c>
      <c r="L155" s="115" t="s">
        <v>515</v>
      </c>
      <c r="M155" s="2"/>
    </row>
    <row r="156" spans="1:13" ht="21" x14ac:dyDescent="0.4">
      <c r="A156" s="30" t="s">
        <v>220</v>
      </c>
      <c r="B156" s="30" t="s">
        <v>299</v>
      </c>
      <c r="C156" s="32">
        <v>45651</v>
      </c>
      <c r="D156" s="32">
        <v>46228</v>
      </c>
      <c r="E156" s="121">
        <v>12900</v>
      </c>
      <c r="F156" s="121">
        <v>149475</v>
      </c>
      <c r="G156" s="121">
        <v>149475</v>
      </c>
      <c r="H156" s="119">
        <v>0</v>
      </c>
      <c r="I156" s="34">
        <v>45993</v>
      </c>
      <c r="J156" s="30">
        <v>9498118080</v>
      </c>
      <c r="K156" s="30" t="s">
        <v>36</v>
      </c>
      <c r="L156" s="115" t="s">
        <v>515</v>
      </c>
      <c r="M156" s="2"/>
    </row>
    <row r="157" spans="1:13" ht="21" x14ac:dyDescent="0.4">
      <c r="A157" s="30" t="s">
        <v>210</v>
      </c>
      <c r="B157" s="30" t="s">
        <v>300</v>
      </c>
      <c r="C157" s="32">
        <v>45651</v>
      </c>
      <c r="D157" s="32">
        <v>46228</v>
      </c>
      <c r="E157" s="121">
        <v>4300</v>
      </c>
      <c r="F157" s="121">
        <v>49825</v>
      </c>
      <c r="G157" s="121">
        <v>49825</v>
      </c>
      <c r="H157" s="119">
        <v>0</v>
      </c>
      <c r="I157" s="34">
        <v>45990</v>
      </c>
      <c r="J157" s="30">
        <v>8883825328</v>
      </c>
      <c r="K157" s="30" t="s">
        <v>36</v>
      </c>
      <c r="L157" s="115" t="s">
        <v>515</v>
      </c>
      <c r="M157" s="2"/>
    </row>
    <row r="158" spans="1:13" ht="21" x14ac:dyDescent="0.4">
      <c r="A158" s="30" t="s">
        <v>301</v>
      </c>
      <c r="B158" s="30" t="s">
        <v>302</v>
      </c>
      <c r="C158" s="32">
        <v>45463</v>
      </c>
      <c r="D158" s="32">
        <v>46042</v>
      </c>
      <c r="E158" s="121">
        <v>4850</v>
      </c>
      <c r="F158" s="121">
        <v>77550</v>
      </c>
      <c r="G158" s="121">
        <v>68100</v>
      </c>
      <c r="H158" s="121">
        <v>9450</v>
      </c>
      <c r="I158" s="34">
        <v>45993</v>
      </c>
      <c r="J158" s="30">
        <v>9597733300</v>
      </c>
      <c r="K158" s="30" t="s">
        <v>17</v>
      </c>
      <c r="L158" s="115" t="s">
        <v>515</v>
      </c>
      <c r="M158" s="2"/>
    </row>
    <row r="159" spans="1:13" ht="21" x14ac:dyDescent="0.4">
      <c r="A159" s="30" t="s">
        <v>236</v>
      </c>
      <c r="B159" s="30" t="s">
        <v>303</v>
      </c>
      <c r="C159" s="32">
        <v>45545</v>
      </c>
      <c r="D159" s="32">
        <v>46122</v>
      </c>
      <c r="E159" s="121">
        <v>45500</v>
      </c>
      <c r="F159" s="121">
        <v>632500</v>
      </c>
      <c r="G159" s="121">
        <v>618100</v>
      </c>
      <c r="H159" s="121">
        <v>14400</v>
      </c>
      <c r="I159" s="34">
        <v>45993</v>
      </c>
      <c r="J159" s="30">
        <v>9940381378</v>
      </c>
      <c r="K159" s="30" t="s">
        <v>175</v>
      </c>
      <c r="L159" s="115" t="s">
        <v>515</v>
      </c>
      <c r="M159" s="2"/>
    </row>
    <row r="160" spans="1:13" ht="21" x14ac:dyDescent="0.4">
      <c r="A160" s="7" t="s">
        <v>304</v>
      </c>
      <c r="B160" s="7" t="s">
        <v>305</v>
      </c>
      <c r="C160" s="8">
        <v>45713</v>
      </c>
      <c r="D160" s="8">
        <v>46290</v>
      </c>
      <c r="E160" s="121">
        <v>8300</v>
      </c>
      <c r="F160" s="121">
        <v>82600</v>
      </c>
      <c r="G160" s="121">
        <v>82600</v>
      </c>
      <c r="H160" s="119">
        <v>0</v>
      </c>
      <c r="I160" s="34">
        <v>45969</v>
      </c>
      <c r="J160" s="7">
        <v>9500520653</v>
      </c>
      <c r="K160" s="7" t="s">
        <v>17</v>
      </c>
      <c r="L160" s="115" t="s">
        <v>515</v>
      </c>
      <c r="M160" s="2"/>
    </row>
    <row r="161" spans="1:13" ht="21" x14ac:dyDescent="0.4">
      <c r="A161" s="7" t="s">
        <v>306</v>
      </c>
      <c r="B161" s="7" t="s">
        <v>307</v>
      </c>
      <c r="C161" s="8">
        <v>45713</v>
      </c>
      <c r="D161" s="8">
        <v>46290</v>
      </c>
      <c r="E161" s="121">
        <v>41500</v>
      </c>
      <c r="F161" s="121">
        <v>413000</v>
      </c>
      <c r="G161" s="121">
        <v>408000</v>
      </c>
      <c r="H161" s="121">
        <v>5000</v>
      </c>
      <c r="I161" s="34">
        <v>45993</v>
      </c>
      <c r="J161" s="7">
        <v>8778171337</v>
      </c>
      <c r="K161" s="7" t="s">
        <v>175</v>
      </c>
      <c r="L161" s="115" t="s">
        <v>515</v>
      </c>
      <c r="M161" s="2"/>
    </row>
    <row r="162" spans="1:13" ht="21" x14ac:dyDescent="0.4">
      <c r="A162" s="7" t="s">
        <v>306</v>
      </c>
      <c r="B162" s="7" t="s">
        <v>308</v>
      </c>
      <c r="C162" s="8">
        <v>45713</v>
      </c>
      <c r="D162" s="8">
        <v>46290</v>
      </c>
      <c r="E162" s="121">
        <v>20750</v>
      </c>
      <c r="F162" s="121">
        <v>206500</v>
      </c>
      <c r="G162" s="121">
        <v>205700</v>
      </c>
      <c r="H162" s="121">
        <v>800</v>
      </c>
      <c r="I162" s="34">
        <v>45993</v>
      </c>
      <c r="J162" s="7">
        <v>8778171337</v>
      </c>
      <c r="K162" s="7" t="s">
        <v>175</v>
      </c>
      <c r="L162" s="115" t="s">
        <v>515</v>
      </c>
      <c r="M162" s="2"/>
    </row>
    <row r="163" spans="1:13" ht="21" x14ac:dyDescent="0.4">
      <c r="A163" s="7" t="s">
        <v>309</v>
      </c>
      <c r="B163" s="7" t="s">
        <v>310</v>
      </c>
      <c r="C163" s="8">
        <v>45713</v>
      </c>
      <c r="D163" s="8">
        <v>46290</v>
      </c>
      <c r="E163" s="121">
        <v>12450</v>
      </c>
      <c r="F163" s="121">
        <v>123900</v>
      </c>
      <c r="G163" s="121">
        <v>82500</v>
      </c>
      <c r="H163" s="121">
        <v>41400</v>
      </c>
      <c r="I163" s="34">
        <v>45993</v>
      </c>
      <c r="J163" s="7">
        <v>9944625900</v>
      </c>
      <c r="K163" s="7" t="s">
        <v>73</v>
      </c>
      <c r="L163" s="115" t="s">
        <v>515</v>
      </c>
      <c r="M163" s="2"/>
    </row>
    <row r="164" spans="1:13" ht="21" x14ac:dyDescent="0.4">
      <c r="A164" s="7" t="s">
        <v>230</v>
      </c>
      <c r="B164" s="7" t="s">
        <v>311</v>
      </c>
      <c r="C164" s="8">
        <v>45772</v>
      </c>
      <c r="D164" s="8">
        <v>46351</v>
      </c>
      <c r="E164" s="121">
        <v>4050</v>
      </c>
      <c r="F164" s="121">
        <v>33050</v>
      </c>
      <c r="G164" s="121">
        <v>28100</v>
      </c>
      <c r="H164" s="121">
        <v>4950</v>
      </c>
      <c r="I164" s="34">
        <v>45993</v>
      </c>
      <c r="J164" s="7">
        <v>8489393639</v>
      </c>
      <c r="K164" s="7" t="s">
        <v>17</v>
      </c>
      <c r="L164" s="115" t="s">
        <v>515</v>
      </c>
      <c r="M164" s="2"/>
    </row>
    <row r="165" spans="1:13" ht="21" x14ac:dyDescent="0.4">
      <c r="A165" s="7" t="s">
        <v>312</v>
      </c>
      <c r="B165" s="7" t="s">
        <v>313</v>
      </c>
      <c r="C165" s="8">
        <v>45741</v>
      </c>
      <c r="D165" s="8">
        <v>46320</v>
      </c>
      <c r="E165" s="121">
        <v>96000</v>
      </c>
      <c r="F165" s="121">
        <v>780000</v>
      </c>
      <c r="G165" s="121">
        <v>683600</v>
      </c>
      <c r="H165" s="121">
        <v>96400</v>
      </c>
      <c r="I165" s="34">
        <v>45992</v>
      </c>
      <c r="J165" s="7">
        <v>9566341761</v>
      </c>
      <c r="K165" s="7" t="s">
        <v>17</v>
      </c>
      <c r="L165" s="115" t="s">
        <v>515</v>
      </c>
      <c r="M165" s="2"/>
    </row>
    <row r="166" spans="1:13" ht="21" x14ac:dyDescent="0.4">
      <c r="A166" s="7" t="s">
        <v>314</v>
      </c>
      <c r="B166" s="7" t="s">
        <v>315</v>
      </c>
      <c r="C166" s="8">
        <v>45713</v>
      </c>
      <c r="D166" s="8">
        <v>46290</v>
      </c>
      <c r="E166" s="121">
        <v>3200</v>
      </c>
      <c r="F166" s="121">
        <v>32800</v>
      </c>
      <c r="G166" s="121">
        <v>31650</v>
      </c>
      <c r="H166" s="121">
        <v>1150</v>
      </c>
      <c r="I166" s="34">
        <v>45993</v>
      </c>
      <c r="J166" s="7">
        <v>7358826911</v>
      </c>
      <c r="K166" s="7" t="s">
        <v>175</v>
      </c>
      <c r="L166" s="115" t="s">
        <v>515</v>
      </c>
      <c r="M166" s="2"/>
    </row>
    <row r="167" spans="1:13" ht="21" x14ac:dyDescent="0.4">
      <c r="A167" s="7" t="s">
        <v>316</v>
      </c>
      <c r="B167" s="7" t="s">
        <v>317</v>
      </c>
      <c r="C167" s="8">
        <v>45713</v>
      </c>
      <c r="D167" s="8">
        <v>46290</v>
      </c>
      <c r="E167" s="121">
        <v>8300</v>
      </c>
      <c r="F167" s="121">
        <v>82600</v>
      </c>
      <c r="G167" s="121">
        <v>81600</v>
      </c>
      <c r="H167" s="121">
        <v>1000</v>
      </c>
      <c r="I167" s="34">
        <v>45993</v>
      </c>
      <c r="J167" s="7">
        <v>9787105543</v>
      </c>
      <c r="K167" s="7" t="s">
        <v>73</v>
      </c>
      <c r="L167" s="115" t="s">
        <v>515</v>
      </c>
      <c r="M167" s="2"/>
    </row>
    <row r="168" spans="1:13" ht="21" x14ac:dyDescent="0.4">
      <c r="A168" s="7" t="s">
        <v>318</v>
      </c>
      <c r="B168" s="7" t="s">
        <v>319</v>
      </c>
      <c r="C168" s="8">
        <v>45741</v>
      </c>
      <c r="D168" s="8">
        <v>46320</v>
      </c>
      <c r="E168" s="121">
        <v>8200</v>
      </c>
      <c r="F168" s="121">
        <v>74300</v>
      </c>
      <c r="G168" s="121">
        <v>74300</v>
      </c>
      <c r="H168" s="119">
        <v>0</v>
      </c>
      <c r="I168" s="34">
        <v>45993</v>
      </c>
      <c r="J168" s="7">
        <v>8608884554</v>
      </c>
      <c r="K168" s="7" t="s">
        <v>73</v>
      </c>
      <c r="L168" s="115" t="s">
        <v>515</v>
      </c>
      <c r="M168" s="2"/>
    </row>
    <row r="169" spans="1:13" x14ac:dyDescent="0.35">
      <c r="L169" s="114"/>
    </row>
    <row r="170" spans="1:13" x14ac:dyDescent="0.35">
      <c r="L170" s="114"/>
    </row>
    <row r="171" spans="1:13" x14ac:dyDescent="0.35">
      <c r="L171" s="114"/>
    </row>
    <row r="172" spans="1:13" x14ac:dyDescent="0.35">
      <c r="L172" s="114"/>
    </row>
    <row r="173" spans="1:13" x14ac:dyDescent="0.35">
      <c r="L173" s="114"/>
    </row>
    <row r="174" spans="1:13" x14ac:dyDescent="0.35">
      <c r="L174" s="114"/>
    </row>
    <row r="175" spans="1:13" x14ac:dyDescent="0.35">
      <c r="L175" s="114"/>
    </row>
    <row r="176" spans="1:13" x14ac:dyDescent="0.35">
      <c r="L176" s="114"/>
    </row>
    <row r="177" spans="12:12" x14ac:dyDescent="0.35">
      <c r="L177" s="114"/>
    </row>
    <row r="178" spans="12:12" x14ac:dyDescent="0.35">
      <c r="L178" s="114"/>
    </row>
    <row r="179" spans="12:12" x14ac:dyDescent="0.35">
      <c r="L179" s="114"/>
    </row>
    <row r="180" spans="12:12" x14ac:dyDescent="0.35">
      <c r="L180" s="114"/>
    </row>
    <row r="181" spans="12:12" x14ac:dyDescent="0.35">
      <c r="L181" s="114"/>
    </row>
    <row r="182" spans="12:12" x14ac:dyDescent="0.35">
      <c r="L182" s="114"/>
    </row>
    <row r="183" spans="12:12" x14ac:dyDescent="0.35">
      <c r="L183" s="114"/>
    </row>
    <row r="184" spans="12:12" x14ac:dyDescent="0.35">
      <c r="L184" s="114"/>
    </row>
    <row r="185" spans="12:12" x14ac:dyDescent="0.35">
      <c r="L185" s="114"/>
    </row>
    <row r="186" spans="12:12" x14ac:dyDescent="0.35">
      <c r="L186" s="114"/>
    </row>
    <row r="187" spans="12:12" x14ac:dyDescent="0.35">
      <c r="L187" s="114"/>
    </row>
    <row r="188" spans="12:12" x14ac:dyDescent="0.35">
      <c r="L188" s="114"/>
    </row>
    <row r="189" spans="12:12" x14ac:dyDescent="0.35">
      <c r="L189" s="114"/>
    </row>
    <row r="190" spans="12:12" x14ac:dyDescent="0.35">
      <c r="L190" s="114"/>
    </row>
    <row r="191" spans="12:12" x14ac:dyDescent="0.35">
      <c r="L191" s="114"/>
    </row>
    <row r="192" spans="12:12" x14ac:dyDescent="0.35">
      <c r="L192" s="114"/>
    </row>
    <row r="193" spans="12:12" x14ac:dyDescent="0.35">
      <c r="L193" s="114"/>
    </row>
    <row r="194" spans="12:12" x14ac:dyDescent="0.35">
      <c r="L194" s="114"/>
    </row>
    <row r="195" spans="12:12" x14ac:dyDescent="0.35">
      <c r="L195" s="114"/>
    </row>
    <row r="196" spans="12:12" x14ac:dyDescent="0.35">
      <c r="L196" s="114"/>
    </row>
    <row r="197" spans="12:12" x14ac:dyDescent="0.35">
      <c r="L197" s="114"/>
    </row>
    <row r="198" spans="12:12" x14ac:dyDescent="0.35">
      <c r="L198" s="114"/>
    </row>
    <row r="199" spans="12:12" x14ac:dyDescent="0.35">
      <c r="L199" s="114"/>
    </row>
    <row r="200" spans="12:12" x14ac:dyDescent="0.35">
      <c r="L200" s="114"/>
    </row>
    <row r="201" spans="12:12" x14ac:dyDescent="0.35">
      <c r="L201" s="114"/>
    </row>
  </sheetData>
  <pageMargins left="0.23622047244094491" right="0.35433070866141736" top="0.35433070866141736" bottom="0.74803149606299213" header="0.31496062992125984" footer="0.31496062992125984"/>
  <pageSetup paperSize="9" scale="5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6D6D-F353-4743-95DE-3BF045D7964A}">
  <dimension ref="A1:M60"/>
  <sheetViews>
    <sheetView topLeftCell="A34" zoomScale="24" zoomScaleNormal="87" workbookViewId="0">
      <selection activeCell="N59" sqref="A42:N59"/>
    </sheetView>
  </sheetViews>
  <sheetFormatPr defaultColWidth="9.109375" defaultRowHeight="13.8" x14ac:dyDescent="0.25"/>
  <cols>
    <col min="1" max="1" width="8.44140625" style="2" customWidth="1"/>
    <col min="2" max="2" width="15" style="4" customWidth="1"/>
    <col min="3" max="3" width="37.5546875" style="9" customWidth="1"/>
    <col min="4" max="4" width="23.5546875" style="4" customWidth="1"/>
    <col min="5" max="5" width="19" style="4" customWidth="1"/>
    <col min="6" max="6" width="23" style="4" customWidth="1"/>
    <col min="7" max="7" width="19.5546875" style="10" customWidth="1"/>
    <col min="8" max="8" width="20.109375" style="10" customWidth="1"/>
    <col min="9" max="9" width="19.6640625" style="10" customWidth="1"/>
    <col min="10" max="10" width="21.5546875" style="10" customWidth="1"/>
    <col min="11" max="11" width="19.6640625" style="4" customWidth="1"/>
    <col min="12" max="12" width="22.6640625" style="4" customWidth="1"/>
    <col min="13" max="13" width="28.44140625" style="4" customWidth="1"/>
    <col min="14" max="16384" width="9.109375" style="2"/>
  </cols>
  <sheetData>
    <row r="1" spans="1:13" ht="32.25" customHeight="1" x14ac:dyDescent="0.4">
      <c r="A1" s="1"/>
      <c r="B1" s="22"/>
      <c r="C1" s="23"/>
      <c r="D1" s="22"/>
      <c r="E1" s="22"/>
      <c r="F1" s="76"/>
      <c r="G1" s="76"/>
      <c r="H1" s="76"/>
      <c r="I1" s="76"/>
      <c r="J1" s="25"/>
      <c r="K1" s="22"/>
      <c r="L1" s="22"/>
      <c r="M1" s="22"/>
    </row>
    <row r="2" spans="1:13" ht="39.9" customHeight="1" x14ac:dyDescent="0.3">
      <c r="A2" s="1"/>
      <c r="B2" s="77" t="s">
        <v>345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ht="2.25" customHeight="1" x14ac:dyDescent="0.3">
      <c r="A3" s="1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ht="39.9" customHeight="1" x14ac:dyDescent="0.35">
      <c r="A4" s="1"/>
      <c r="B4" s="27">
        <v>45962</v>
      </c>
      <c r="C4" s="78" t="s">
        <v>344</v>
      </c>
      <c r="D4" s="78"/>
      <c r="E4" s="78"/>
      <c r="F4" s="78"/>
      <c r="G4" s="78"/>
      <c r="H4" s="78"/>
      <c r="I4" s="78"/>
      <c r="J4" s="78"/>
      <c r="K4" s="78"/>
      <c r="L4" s="78"/>
      <c r="M4" s="28" t="s">
        <v>512</v>
      </c>
    </row>
    <row r="5" spans="1:13" s="4" customFormat="1" ht="39.9" customHeight="1" x14ac:dyDescent="0.3"/>
    <row r="6" spans="1:13" s="4" customFormat="1" ht="39.9" customHeight="1" x14ac:dyDescent="0.3"/>
    <row r="7" spans="1:13" s="4" customFormat="1" ht="39.9" customHeight="1" x14ac:dyDescent="0.3"/>
    <row r="8" spans="1:13" s="4" customFormat="1" ht="39.9" customHeight="1" x14ac:dyDescent="0.3"/>
    <row r="9" spans="1:13" s="4" customFormat="1" ht="39.9" customHeight="1" x14ac:dyDescent="0.3"/>
    <row r="10" spans="1:13" s="4" customFormat="1" ht="39.9" customHeight="1" x14ac:dyDescent="0.3"/>
    <row r="11" spans="1:13" s="4" customFormat="1" ht="39.9" customHeight="1" x14ac:dyDescent="0.3"/>
    <row r="12" spans="1:13" s="4" customFormat="1" ht="39.9" customHeight="1" x14ac:dyDescent="0.3"/>
    <row r="13" spans="1:13" s="4" customFormat="1" ht="39.9" customHeight="1" x14ac:dyDescent="0.3"/>
    <row r="14" spans="1:13" s="4" customFormat="1" ht="39.9" customHeight="1" x14ac:dyDescent="0.3"/>
    <row r="15" spans="1:13" s="4" customFormat="1" ht="39.9" customHeight="1" x14ac:dyDescent="0.3"/>
    <row r="16" spans="1:13" s="4" customFormat="1" ht="39.9" customHeight="1" x14ac:dyDescent="0.3"/>
    <row r="17" s="4" customFormat="1" ht="39.9" customHeight="1" x14ac:dyDescent="0.3"/>
    <row r="18" s="4" customFormat="1" ht="39.9" customHeight="1" x14ac:dyDescent="0.3"/>
    <row r="19" s="4" customFormat="1" ht="39.9" customHeight="1" x14ac:dyDescent="0.3"/>
    <row r="20" s="4" customFormat="1" ht="39.9" customHeight="1" x14ac:dyDescent="0.3"/>
    <row r="21" s="4" customFormat="1" ht="39.9" customHeight="1" x14ac:dyDescent="0.3"/>
    <row r="22" s="4" customFormat="1" ht="39.9" customHeight="1" x14ac:dyDescent="0.3"/>
    <row r="23" s="4" customFormat="1" ht="39.9" customHeight="1" x14ac:dyDescent="0.3"/>
    <row r="24" s="4" customFormat="1" ht="39.9" customHeight="1" x14ac:dyDescent="0.3"/>
    <row r="25" s="4" customFormat="1" ht="39.9" customHeight="1" x14ac:dyDescent="0.3"/>
    <row r="26" s="4" customFormat="1" ht="39.9" customHeight="1" x14ac:dyDescent="0.3"/>
    <row r="27" s="4" customFormat="1" ht="39.9" customHeight="1" x14ac:dyDescent="0.3"/>
    <row r="28" s="4" customFormat="1" ht="39.9" customHeight="1" x14ac:dyDescent="0.3"/>
    <row r="29" s="4" customFormat="1" ht="39.9" customHeight="1" x14ac:dyDescent="0.3"/>
    <row r="30" s="4" customFormat="1" ht="39.9" customHeight="1" x14ac:dyDescent="0.3"/>
    <row r="31" s="4" customFormat="1" ht="39.9" customHeight="1" x14ac:dyDescent="0.3"/>
    <row r="32" s="4" customFormat="1" ht="39.9" customHeight="1" x14ac:dyDescent="0.3"/>
    <row r="33" spans="1:13" s="4" customFormat="1" ht="39.9" customHeight="1" x14ac:dyDescent="0.3"/>
    <row r="34" spans="1:13" s="4" customFormat="1" ht="39.9" customHeight="1" x14ac:dyDescent="0.3"/>
    <row r="35" spans="1:13" ht="39.9" customHeight="1" x14ac:dyDescent="0.25"/>
    <row r="36" spans="1:13" ht="41.25" customHeight="1" x14ac:dyDescent="0.25"/>
    <row r="37" spans="1:13" ht="41.25" customHeight="1" x14ac:dyDescent="0.25"/>
    <row r="38" spans="1:13" ht="39.9" customHeight="1" x14ac:dyDescent="0.25"/>
    <row r="39" spans="1:13" ht="39.9" customHeight="1" x14ac:dyDescent="0.4">
      <c r="A39" s="1"/>
      <c r="B39" s="54"/>
      <c r="C39" s="55"/>
      <c r="D39" s="54"/>
      <c r="E39" s="54"/>
      <c r="F39" s="54"/>
      <c r="G39" s="56"/>
      <c r="H39" s="56"/>
      <c r="I39" s="56"/>
      <c r="J39" s="56"/>
      <c r="K39" s="54"/>
      <c r="L39" s="54"/>
      <c r="M39" s="54"/>
    </row>
    <row r="40" spans="1:13" ht="39.9" customHeight="1" x14ac:dyDescent="0.35">
      <c r="A40" s="1"/>
      <c r="B40" s="26"/>
      <c r="C40" s="73"/>
      <c r="D40" s="26"/>
      <c r="E40" s="26"/>
      <c r="F40" s="77" t="s">
        <v>322</v>
      </c>
      <c r="G40" s="77"/>
      <c r="H40" s="77"/>
      <c r="I40" s="77"/>
      <c r="J40" s="38"/>
      <c r="K40" s="26"/>
      <c r="L40" s="26"/>
      <c r="M40" s="26"/>
    </row>
    <row r="41" spans="1:13" ht="39.9" customHeight="1" x14ac:dyDescent="0.35">
      <c r="A41" s="1"/>
      <c r="B41" s="27">
        <v>45962</v>
      </c>
      <c r="C41" s="78" t="s">
        <v>346</v>
      </c>
      <c r="D41" s="78"/>
      <c r="E41" s="78"/>
      <c r="F41" s="78"/>
      <c r="G41" s="78"/>
      <c r="H41" s="78"/>
      <c r="I41" s="78"/>
      <c r="J41" s="78"/>
      <c r="K41" s="78"/>
      <c r="L41" s="78"/>
      <c r="M41" s="28" t="s">
        <v>512</v>
      </c>
    </row>
    <row r="42" spans="1:13" s="4" customFormat="1" ht="39.9" customHeight="1" x14ac:dyDescent="0.35">
      <c r="A42" s="3"/>
      <c r="B42" s="24" t="s">
        <v>0</v>
      </c>
      <c r="C42" s="51" t="s">
        <v>1</v>
      </c>
      <c r="D42" s="29" t="s">
        <v>2</v>
      </c>
      <c r="E42" s="29" t="s">
        <v>3</v>
      </c>
      <c r="F42" s="29" t="s">
        <v>4</v>
      </c>
      <c r="G42" s="69" t="s">
        <v>5</v>
      </c>
      <c r="H42" s="69" t="s">
        <v>6</v>
      </c>
      <c r="I42" s="69" t="s">
        <v>7</v>
      </c>
      <c r="J42" s="71" t="s">
        <v>8</v>
      </c>
      <c r="K42" s="29" t="s">
        <v>9</v>
      </c>
      <c r="L42" s="29" t="s">
        <v>10</v>
      </c>
      <c r="M42" s="29" t="s">
        <v>11</v>
      </c>
    </row>
    <row r="43" spans="1:13" s="4" customFormat="1" ht="39" customHeight="1" x14ac:dyDescent="0.4">
      <c r="A43" s="3"/>
      <c r="B43" s="30">
        <v>1</v>
      </c>
      <c r="C43" s="31" t="s">
        <v>12</v>
      </c>
      <c r="D43" s="30" t="s">
        <v>13</v>
      </c>
      <c r="E43" s="32">
        <v>45392</v>
      </c>
      <c r="F43" s="32">
        <v>45971</v>
      </c>
      <c r="G43" s="33">
        <v>5000</v>
      </c>
      <c r="H43" s="33">
        <v>87500</v>
      </c>
      <c r="I43" s="33">
        <v>87500</v>
      </c>
      <c r="J43" s="33">
        <f>H43-I43</f>
        <v>0</v>
      </c>
      <c r="K43" s="34">
        <v>45975</v>
      </c>
      <c r="L43" s="30">
        <v>9443392653</v>
      </c>
      <c r="M43" s="30" t="s">
        <v>14</v>
      </c>
    </row>
    <row r="44" spans="1:13" s="4" customFormat="1" ht="39.9" customHeight="1" x14ac:dyDescent="0.4">
      <c r="A44" s="3"/>
      <c r="B44" s="30">
        <v>2</v>
      </c>
      <c r="C44" s="31" t="s">
        <v>15</v>
      </c>
      <c r="D44" s="30" t="s">
        <v>16</v>
      </c>
      <c r="E44" s="32">
        <v>45392</v>
      </c>
      <c r="F44" s="32">
        <v>45971</v>
      </c>
      <c r="G44" s="33">
        <v>25000</v>
      </c>
      <c r="H44" s="33">
        <v>437500</v>
      </c>
      <c r="I44" s="33">
        <v>437500</v>
      </c>
      <c r="J44" s="33">
        <v>0</v>
      </c>
      <c r="K44" s="34">
        <v>45960</v>
      </c>
      <c r="L44" s="30">
        <v>7904752488</v>
      </c>
      <c r="M44" s="30" t="s">
        <v>17</v>
      </c>
    </row>
    <row r="45" spans="1:13" s="4" customFormat="1" ht="39.9" customHeight="1" x14ac:dyDescent="0.4">
      <c r="A45" s="3"/>
      <c r="B45" s="30">
        <v>3</v>
      </c>
      <c r="C45" s="31" t="s">
        <v>18</v>
      </c>
      <c r="D45" s="30" t="s">
        <v>19</v>
      </c>
      <c r="E45" s="32">
        <v>45392</v>
      </c>
      <c r="F45" s="32">
        <v>45971</v>
      </c>
      <c r="G45" s="33">
        <v>5000</v>
      </c>
      <c r="H45" s="33">
        <v>87500</v>
      </c>
      <c r="I45" s="33">
        <v>87500</v>
      </c>
      <c r="J45" s="33">
        <f>H45-I45</f>
        <v>0</v>
      </c>
      <c r="K45" s="34">
        <v>45965</v>
      </c>
      <c r="L45" s="30">
        <v>9600898204</v>
      </c>
      <c r="M45" s="30" t="s">
        <v>14</v>
      </c>
    </row>
    <row r="46" spans="1:13" s="4" customFormat="1" ht="39.9" customHeight="1" x14ac:dyDescent="0.4">
      <c r="A46" s="3"/>
      <c r="B46" s="30">
        <v>4</v>
      </c>
      <c r="C46" s="31" t="s">
        <v>20</v>
      </c>
      <c r="D46" s="30" t="s">
        <v>21</v>
      </c>
      <c r="E46" s="32">
        <v>45392</v>
      </c>
      <c r="F46" s="32">
        <v>45971</v>
      </c>
      <c r="G46" s="33">
        <v>5000</v>
      </c>
      <c r="H46" s="33">
        <v>87500</v>
      </c>
      <c r="I46" s="33">
        <v>87500</v>
      </c>
      <c r="J46" s="33">
        <f>H46-I46</f>
        <v>0</v>
      </c>
      <c r="K46" s="34">
        <v>45962</v>
      </c>
      <c r="L46" s="30">
        <v>9865957425</v>
      </c>
      <c r="M46" s="30" t="s">
        <v>17</v>
      </c>
    </row>
    <row r="47" spans="1:13" s="4" customFormat="1" ht="39.9" customHeight="1" x14ac:dyDescent="0.4">
      <c r="A47" s="3"/>
      <c r="B47" s="30">
        <v>5</v>
      </c>
      <c r="C47" s="31" t="s">
        <v>22</v>
      </c>
      <c r="D47" s="30" t="s">
        <v>23</v>
      </c>
      <c r="E47" s="32">
        <v>45422</v>
      </c>
      <c r="F47" s="32">
        <v>46001</v>
      </c>
      <c r="G47" s="33">
        <v>9900</v>
      </c>
      <c r="H47" s="33">
        <v>165000</v>
      </c>
      <c r="I47" s="33">
        <v>147000</v>
      </c>
      <c r="J47" s="33">
        <v>18000</v>
      </c>
      <c r="K47" s="34">
        <v>45941</v>
      </c>
      <c r="L47" s="30">
        <v>8870655565</v>
      </c>
      <c r="M47" s="30" t="s">
        <v>17</v>
      </c>
    </row>
    <row r="48" spans="1:13" s="4" customFormat="1" ht="39.9" customHeight="1" x14ac:dyDescent="0.4">
      <c r="A48" s="3"/>
      <c r="B48" s="30">
        <v>6</v>
      </c>
      <c r="C48" s="31" t="s">
        <v>24</v>
      </c>
      <c r="D48" s="30" t="s">
        <v>25</v>
      </c>
      <c r="E48" s="32">
        <v>45483</v>
      </c>
      <c r="F48" s="32">
        <v>46063</v>
      </c>
      <c r="G48" s="33">
        <v>4800</v>
      </c>
      <c r="H48" s="33">
        <v>72700</v>
      </c>
      <c r="I48" s="33">
        <v>72700</v>
      </c>
      <c r="J48" s="33">
        <v>0</v>
      </c>
      <c r="K48" s="34">
        <v>45994</v>
      </c>
      <c r="L48" s="30">
        <v>9597371111</v>
      </c>
      <c r="M48" s="30" t="s">
        <v>17</v>
      </c>
    </row>
    <row r="49" spans="1:13" s="4" customFormat="1" ht="39.9" customHeight="1" x14ac:dyDescent="0.4">
      <c r="A49" s="3"/>
      <c r="B49" s="30">
        <v>7</v>
      </c>
      <c r="C49" s="31" t="s">
        <v>29</v>
      </c>
      <c r="D49" s="30" t="s">
        <v>30</v>
      </c>
      <c r="E49" s="32">
        <v>45514</v>
      </c>
      <c r="F49" s="32">
        <v>46091</v>
      </c>
      <c r="G49" s="33">
        <v>13950</v>
      </c>
      <c r="H49" s="33">
        <v>203700</v>
      </c>
      <c r="I49" s="33">
        <v>203700</v>
      </c>
      <c r="J49" s="25"/>
      <c r="K49" s="34">
        <v>45971</v>
      </c>
      <c r="L49" s="22">
        <v>9894431394</v>
      </c>
      <c r="M49" s="30" t="s">
        <v>28</v>
      </c>
    </row>
    <row r="50" spans="1:13" s="4" customFormat="1" ht="39.9" customHeight="1" x14ac:dyDescent="0.4">
      <c r="A50" s="3"/>
      <c r="B50" s="30">
        <v>8</v>
      </c>
      <c r="C50" s="31" t="s">
        <v>31</v>
      </c>
      <c r="D50" s="30" t="s">
        <v>32</v>
      </c>
      <c r="E50" s="32">
        <v>45483</v>
      </c>
      <c r="F50" s="32">
        <v>46063</v>
      </c>
      <c r="G50" s="33">
        <v>14400</v>
      </c>
      <c r="H50" s="33">
        <v>218100</v>
      </c>
      <c r="I50" s="33">
        <v>111450</v>
      </c>
      <c r="J50" s="33">
        <v>106650</v>
      </c>
      <c r="K50" s="34">
        <v>45740</v>
      </c>
      <c r="L50" s="30">
        <v>8807322007</v>
      </c>
      <c r="M50" s="30" t="s">
        <v>28</v>
      </c>
    </row>
    <row r="51" spans="1:13" s="4" customFormat="1" ht="39.9" customHeight="1" x14ac:dyDescent="0.4">
      <c r="A51" s="3"/>
      <c r="B51" s="30">
        <v>9</v>
      </c>
      <c r="C51" s="31" t="s">
        <v>31</v>
      </c>
      <c r="D51" s="30" t="s">
        <v>33</v>
      </c>
      <c r="E51" s="32">
        <v>45483</v>
      </c>
      <c r="F51" s="32">
        <v>46063</v>
      </c>
      <c r="G51" s="33">
        <v>14400</v>
      </c>
      <c r="H51" s="33">
        <v>218100</v>
      </c>
      <c r="I51" s="33">
        <v>111450</v>
      </c>
      <c r="J51" s="33">
        <v>106650</v>
      </c>
      <c r="K51" s="34">
        <v>45740</v>
      </c>
      <c r="L51" s="30">
        <v>8807322007</v>
      </c>
      <c r="M51" s="30" t="s">
        <v>28</v>
      </c>
    </row>
    <row r="52" spans="1:13" s="4" customFormat="1" ht="39.9" customHeight="1" x14ac:dyDescent="0.4">
      <c r="A52" s="3"/>
      <c r="B52" s="30">
        <v>10</v>
      </c>
      <c r="C52" s="31" t="s">
        <v>34</v>
      </c>
      <c r="D52" s="30" t="s">
        <v>35</v>
      </c>
      <c r="E52" s="32">
        <v>45636</v>
      </c>
      <c r="F52" s="32">
        <v>46213</v>
      </c>
      <c r="G52" s="33">
        <v>10050</v>
      </c>
      <c r="H52" s="33">
        <v>118200</v>
      </c>
      <c r="I52" s="33">
        <v>118200</v>
      </c>
      <c r="J52" s="25"/>
      <c r="K52" s="34">
        <v>45973</v>
      </c>
      <c r="L52" s="30">
        <v>9940757575</v>
      </c>
      <c r="M52" s="30" t="s">
        <v>36</v>
      </c>
    </row>
    <row r="53" spans="1:13" s="4" customFormat="1" ht="39.9" customHeight="1" x14ac:dyDescent="0.4">
      <c r="A53" s="3"/>
      <c r="B53" s="30">
        <v>11</v>
      </c>
      <c r="C53" s="31" t="s">
        <v>76</v>
      </c>
      <c r="D53" s="30" t="s">
        <v>77</v>
      </c>
      <c r="E53" s="32">
        <v>45422</v>
      </c>
      <c r="F53" s="32">
        <v>46001</v>
      </c>
      <c r="G53" s="33">
        <v>24750</v>
      </c>
      <c r="H53" s="33">
        <v>412500</v>
      </c>
      <c r="I53" s="33">
        <v>412500</v>
      </c>
      <c r="J53" s="25"/>
      <c r="K53" s="34">
        <v>45967</v>
      </c>
      <c r="L53" s="30">
        <v>9524068353</v>
      </c>
      <c r="M53" s="30" t="s">
        <v>17</v>
      </c>
    </row>
    <row r="54" spans="1:13" s="4" customFormat="1" ht="39.9" customHeight="1" x14ac:dyDescent="0.4">
      <c r="A54" s="3"/>
      <c r="B54" s="30">
        <v>12</v>
      </c>
      <c r="C54" s="31" t="s">
        <v>78</v>
      </c>
      <c r="D54" s="30" t="s">
        <v>79</v>
      </c>
      <c r="E54" s="32">
        <v>45545</v>
      </c>
      <c r="F54" s="32">
        <v>46122</v>
      </c>
      <c r="G54" s="33">
        <v>4550</v>
      </c>
      <c r="H54" s="33">
        <v>63250</v>
      </c>
      <c r="I54" s="33">
        <v>54400</v>
      </c>
      <c r="J54" s="33">
        <v>8850</v>
      </c>
      <c r="K54" s="34">
        <v>45964</v>
      </c>
      <c r="L54" s="30">
        <v>8248986254</v>
      </c>
      <c r="M54" s="30" t="s">
        <v>28</v>
      </c>
    </row>
    <row r="55" spans="1:13" s="4" customFormat="1" ht="39.9" customHeight="1" x14ac:dyDescent="0.4">
      <c r="A55" s="3"/>
      <c r="B55" s="30">
        <v>13</v>
      </c>
      <c r="C55" s="31" t="s">
        <v>80</v>
      </c>
      <c r="D55" s="30" t="s">
        <v>81</v>
      </c>
      <c r="E55" s="32">
        <v>45575</v>
      </c>
      <c r="F55" s="32">
        <v>46152</v>
      </c>
      <c r="G55" s="33">
        <v>8950</v>
      </c>
      <c r="H55" s="33">
        <v>117400</v>
      </c>
      <c r="I55" s="33">
        <v>91100</v>
      </c>
      <c r="J55" s="33">
        <v>26300</v>
      </c>
      <c r="K55" s="34">
        <v>45878</v>
      </c>
      <c r="L55" s="30">
        <v>8220312436</v>
      </c>
      <c r="M55" s="30" t="s">
        <v>28</v>
      </c>
    </row>
    <row r="56" spans="1:13" ht="39.9" customHeight="1" x14ac:dyDescent="0.4">
      <c r="A56" s="1"/>
      <c r="B56" s="30">
        <v>14</v>
      </c>
      <c r="C56" s="31" t="s">
        <v>105</v>
      </c>
      <c r="D56" s="30" t="s">
        <v>106</v>
      </c>
      <c r="E56" s="32">
        <v>45524</v>
      </c>
      <c r="F56" s="32">
        <v>46101</v>
      </c>
      <c r="G56" s="33">
        <v>13650</v>
      </c>
      <c r="H56" s="33">
        <v>189750</v>
      </c>
      <c r="I56" s="33">
        <v>189750</v>
      </c>
      <c r="J56" s="25"/>
      <c r="K56" s="34">
        <v>45969</v>
      </c>
      <c r="L56" s="30">
        <v>9443017476</v>
      </c>
      <c r="M56" s="30" t="s">
        <v>28</v>
      </c>
    </row>
    <row r="57" spans="1:13" ht="39.9" customHeight="1" x14ac:dyDescent="0.4">
      <c r="B57" s="30">
        <v>15</v>
      </c>
      <c r="C57" s="23" t="s">
        <v>325</v>
      </c>
      <c r="D57" s="22" t="s">
        <v>324</v>
      </c>
      <c r="E57" s="34">
        <v>45940</v>
      </c>
      <c r="F57" s="34">
        <v>46517</v>
      </c>
      <c r="G57" s="33">
        <v>16000</v>
      </c>
      <c r="H57" s="33">
        <v>36000</v>
      </c>
      <c r="I57" s="33">
        <v>36000</v>
      </c>
      <c r="J57" s="25"/>
      <c r="K57" s="34">
        <v>45975</v>
      </c>
      <c r="L57" s="30">
        <v>7667534744</v>
      </c>
      <c r="M57" s="30" t="s">
        <v>28</v>
      </c>
    </row>
    <row r="58" spans="1:13" ht="39.9" customHeight="1" x14ac:dyDescent="0.4">
      <c r="B58" s="30">
        <v>16</v>
      </c>
      <c r="C58" s="23" t="s">
        <v>323</v>
      </c>
      <c r="D58" s="22" t="s">
        <v>326</v>
      </c>
      <c r="E58" s="34">
        <v>45971</v>
      </c>
      <c r="F58" s="34">
        <v>46244</v>
      </c>
      <c r="G58" s="33">
        <v>50000</v>
      </c>
      <c r="H58" s="33">
        <v>50000</v>
      </c>
      <c r="I58" s="33">
        <v>50000</v>
      </c>
      <c r="J58" s="25"/>
      <c r="K58" s="34">
        <v>45966</v>
      </c>
      <c r="L58" s="30">
        <v>9994059498</v>
      </c>
      <c r="M58" s="30" t="s">
        <v>28</v>
      </c>
    </row>
    <row r="59" spans="1:13" ht="39.9" customHeight="1" x14ac:dyDescent="0.35">
      <c r="A59" s="1"/>
      <c r="B59" s="76"/>
      <c r="C59" s="76"/>
      <c r="D59" s="76" t="s">
        <v>41</v>
      </c>
      <c r="E59" s="76"/>
      <c r="F59" s="76"/>
      <c r="G59" s="37">
        <f>SUM(G43:G58)</f>
        <v>225400</v>
      </c>
      <c r="H59" s="37">
        <f>SUM(H43:H58)</f>
        <v>2564700</v>
      </c>
      <c r="I59" s="37">
        <f>SUM(I43:I58)</f>
        <v>2298250</v>
      </c>
      <c r="J59" s="37">
        <f>SUM(J43:J57)</f>
        <v>266450</v>
      </c>
      <c r="K59" s="76"/>
      <c r="L59" s="76"/>
      <c r="M59" s="76"/>
    </row>
    <row r="60" spans="1:13" ht="21" x14ac:dyDescent="0.4">
      <c r="B60" s="22"/>
      <c r="C60" s="23"/>
      <c r="D60" s="22"/>
      <c r="E60" s="22"/>
      <c r="F60" s="22"/>
      <c r="G60" s="25"/>
      <c r="H60" s="25"/>
      <c r="I60" s="25"/>
      <c r="J60" s="25"/>
      <c r="K60" s="22"/>
      <c r="L60" s="22"/>
      <c r="M60" s="22"/>
    </row>
  </sheetData>
  <mergeCells count="8">
    <mergeCell ref="F1:I1"/>
    <mergeCell ref="B2:M3"/>
    <mergeCell ref="B59:C59"/>
    <mergeCell ref="D59:F59"/>
    <mergeCell ref="K59:M59"/>
    <mergeCell ref="F40:I40"/>
    <mergeCell ref="C4:L4"/>
    <mergeCell ref="C41:L41"/>
  </mergeCells>
  <phoneticPr fontId="8" type="noConversion"/>
  <pageMargins left="0.27559055118110237" right="0.31496062992125984" top="0.43307086614173229" bottom="0.74803149606299213" header="0.31496062992125984" footer="0.31496062992125984"/>
  <pageSetup paperSize="9" scale="50" orientation="landscape" horizontalDpi="4294967293" verticalDpi="0" r:id="rId1"/>
  <rowBreaks count="2" manualBreakCount="2">
    <brk id="26" max="12" man="1"/>
    <brk id="61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D46A-9342-4B3F-A3A3-0FFC31858558}">
  <sheetPr filterMode="1"/>
  <dimension ref="A1:J149"/>
  <sheetViews>
    <sheetView workbookViewId="0">
      <selection activeCell="E80" sqref="E80:I80"/>
    </sheetView>
  </sheetViews>
  <sheetFormatPr defaultRowHeight="14.4" x14ac:dyDescent="0.3"/>
  <cols>
    <col min="2" max="2" width="43.6640625" customWidth="1"/>
    <col min="3" max="3" width="18.6640625" customWidth="1"/>
    <col min="4" max="4" width="13.88671875" customWidth="1"/>
    <col min="5" max="5" width="11.5546875" customWidth="1"/>
    <col min="6" max="6" width="15.5546875" customWidth="1"/>
    <col min="7" max="7" width="12.88671875" customWidth="1"/>
    <col min="8" max="8" width="12.109375" customWidth="1"/>
    <col min="9" max="9" width="14.109375" customWidth="1"/>
    <col min="10" max="10" width="18" customWidth="1"/>
  </cols>
  <sheetData>
    <row r="1" spans="1:10" x14ac:dyDescent="0.3">
      <c r="A1" s="11" t="s">
        <v>507</v>
      </c>
      <c r="B1" s="11" t="s">
        <v>508</v>
      </c>
      <c r="C1" s="11" t="s">
        <v>509</v>
      </c>
      <c r="D1" s="11" t="s">
        <v>510</v>
      </c>
      <c r="E1" s="11"/>
      <c r="F1" s="11"/>
      <c r="G1" s="11"/>
      <c r="H1" s="11"/>
      <c r="I1" s="11"/>
      <c r="J1" s="11"/>
    </row>
    <row r="2" spans="1:10" ht="26.25" hidden="1" customHeight="1" x14ac:dyDescent="0.3">
      <c r="C2" s="79">
        <v>45993</v>
      </c>
      <c r="D2" s="79"/>
      <c r="E2" s="79"/>
      <c r="F2" s="79"/>
      <c r="G2" s="79"/>
    </row>
    <row r="3" spans="1:10" hidden="1" x14ac:dyDescent="0.3">
      <c r="A3">
        <v>1</v>
      </c>
      <c r="B3" t="s">
        <v>347</v>
      </c>
      <c r="C3" s="17">
        <v>45392</v>
      </c>
      <c r="D3" s="17">
        <v>46122</v>
      </c>
      <c r="E3" s="18">
        <v>18750</v>
      </c>
      <c r="F3" s="18">
        <v>340000</v>
      </c>
      <c r="G3" s="18">
        <v>196850</v>
      </c>
      <c r="H3" s="18">
        <v>143150</v>
      </c>
      <c r="I3" s="17">
        <v>45988</v>
      </c>
      <c r="J3">
        <v>9362100768</v>
      </c>
    </row>
    <row r="4" spans="1:10" hidden="1" x14ac:dyDescent="0.3">
      <c r="A4">
        <v>2</v>
      </c>
      <c r="B4" t="s">
        <v>348</v>
      </c>
      <c r="C4" s="17">
        <v>45392</v>
      </c>
      <c r="D4" s="17">
        <v>46122</v>
      </c>
      <c r="E4" s="18">
        <v>7500</v>
      </c>
      <c r="F4" s="18">
        <v>136000</v>
      </c>
      <c r="G4" s="18">
        <v>77500</v>
      </c>
      <c r="H4" s="18">
        <v>58500</v>
      </c>
      <c r="I4" s="17">
        <v>45992</v>
      </c>
      <c r="J4">
        <v>9943006535</v>
      </c>
    </row>
    <row r="5" spans="1:10" hidden="1" x14ac:dyDescent="0.3">
      <c r="A5">
        <v>3</v>
      </c>
      <c r="B5" t="s">
        <v>349</v>
      </c>
      <c r="C5" s="17">
        <v>45393</v>
      </c>
      <c r="D5" s="17">
        <v>46123</v>
      </c>
      <c r="E5" s="18">
        <v>7500</v>
      </c>
      <c r="F5" s="18">
        <v>136000</v>
      </c>
      <c r="G5" s="18">
        <v>71500</v>
      </c>
      <c r="H5" s="18">
        <v>64500</v>
      </c>
      <c r="I5" s="17">
        <v>45902</v>
      </c>
      <c r="J5">
        <v>9943006535</v>
      </c>
    </row>
    <row r="6" spans="1:10" hidden="1" x14ac:dyDescent="0.3">
      <c r="A6">
        <v>4</v>
      </c>
      <c r="B6" t="s">
        <v>350</v>
      </c>
      <c r="C6" s="17">
        <v>45422</v>
      </c>
      <c r="D6" s="17">
        <v>46152</v>
      </c>
      <c r="E6" s="18">
        <v>18500</v>
      </c>
      <c r="F6" s="18">
        <v>321250</v>
      </c>
      <c r="G6" s="18">
        <v>297150</v>
      </c>
      <c r="H6" s="18">
        <v>24100</v>
      </c>
      <c r="I6" s="17">
        <v>45993</v>
      </c>
      <c r="J6">
        <v>8344483007</v>
      </c>
    </row>
    <row r="7" spans="1:10" hidden="1" x14ac:dyDescent="0.3">
      <c r="A7">
        <v>5</v>
      </c>
      <c r="B7" t="s">
        <v>351</v>
      </c>
      <c r="C7" s="17">
        <v>45422</v>
      </c>
      <c r="D7" s="17">
        <v>46001</v>
      </c>
      <c r="E7" s="18">
        <v>4950</v>
      </c>
      <c r="F7" s="18">
        <v>82500</v>
      </c>
      <c r="G7" s="18">
        <v>82500</v>
      </c>
      <c r="I7" s="17">
        <v>45993</v>
      </c>
      <c r="J7">
        <v>6380204475</v>
      </c>
    </row>
    <row r="8" spans="1:10" hidden="1" x14ac:dyDescent="0.3">
      <c r="A8">
        <v>6</v>
      </c>
      <c r="B8" t="s">
        <v>352</v>
      </c>
      <c r="C8" s="17">
        <v>45422</v>
      </c>
      <c r="D8" s="17">
        <v>46001</v>
      </c>
      <c r="E8" s="18">
        <v>4950</v>
      </c>
      <c r="F8" s="18">
        <v>82500</v>
      </c>
      <c r="G8" s="18">
        <v>82500</v>
      </c>
      <c r="I8" s="17">
        <v>45980</v>
      </c>
      <c r="J8">
        <v>8883366465</v>
      </c>
    </row>
    <row r="9" spans="1:10" hidden="1" x14ac:dyDescent="0.3">
      <c r="A9">
        <v>7</v>
      </c>
      <c r="B9" t="s">
        <v>353</v>
      </c>
      <c r="C9" s="17">
        <v>45422</v>
      </c>
      <c r="D9" s="17">
        <v>46001</v>
      </c>
      <c r="E9" s="18">
        <v>9900</v>
      </c>
      <c r="F9" s="18">
        <v>165000</v>
      </c>
      <c r="G9" s="18">
        <v>147000</v>
      </c>
      <c r="H9" s="18">
        <v>18000</v>
      </c>
      <c r="I9" s="17">
        <v>45941</v>
      </c>
      <c r="J9">
        <v>8870655565</v>
      </c>
    </row>
    <row r="10" spans="1:10" hidden="1" x14ac:dyDescent="0.3">
      <c r="A10">
        <v>8</v>
      </c>
      <c r="B10" t="s">
        <v>354</v>
      </c>
      <c r="C10" s="17">
        <v>45422</v>
      </c>
      <c r="D10" s="17">
        <v>46001</v>
      </c>
      <c r="J10">
        <v>9842609523</v>
      </c>
    </row>
    <row r="11" spans="1:10" hidden="1" x14ac:dyDescent="0.3">
      <c r="A11">
        <v>9</v>
      </c>
      <c r="B11" t="s">
        <v>355</v>
      </c>
      <c r="C11" s="17">
        <v>45422</v>
      </c>
      <c r="D11" s="17">
        <v>46001</v>
      </c>
      <c r="E11" s="18">
        <v>9900</v>
      </c>
      <c r="F11" s="18">
        <v>165000</v>
      </c>
      <c r="G11" s="18">
        <v>155100</v>
      </c>
      <c r="H11" s="18">
        <v>9900</v>
      </c>
      <c r="I11" s="17">
        <v>45946</v>
      </c>
      <c r="J11">
        <v>7667630898</v>
      </c>
    </row>
    <row r="12" spans="1:10" hidden="1" x14ac:dyDescent="0.3">
      <c r="A12">
        <v>10</v>
      </c>
      <c r="B12" t="s">
        <v>356</v>
      </c>
      <c r="C12" s="17">
        <v>45422</v>
      </c>
      <c r="D12" s="17">
        <v>46001</v>
      </c>
      <c r="J12">
        <v>8838428286</v>
      </c>
    </row>
    <row r="13" spans="1:10" hidden="1" x14ac:dyDescent="0.3">
      <c r="A13">
        <v>11</v>
      </c>
      <c r="B13" t="s">
        <v>357</v>
      </c>
      <c r="C13" s="17">
        <v>45432</v>
      </c>
      <c r="D13" s="17">
        <v>46011</v>
      </c>
      <c r="J13">
        <v>9843700987</v>
      </c>
    </row>
    <row r="14" spans="1:10" hidden="1" x14ac:dyDescent="0.3">
      <c r="A14">
        <v>12</v>
      </c>
      <c r="B14" t="s">
        <v>358</v>
      </c>
      <c r="C14" s="17">
        <v>45463</v>
      </c>
      <c r="D14" s="17">
        <v>46042</v>
      </c>
      <c r="E14" s="18">
        <v>14550</v>
      </c>
      <c r="F14" s="18">
        <v>232650</v>
      </c>
      <c r="G14" s="18">
        <v>212000</v>
      </c>
      <c r="H14" s="18">
        <v>20650</v>
      </c>
      <c r="I14" s="17">
        <v>45993</v>
      </c>
      <c r="J14">
        <v>9003712244</v>
      </c>
    </row>
    <row r="15" spans="1:10" hidden="1" x14ac:dyDescent="0.3">
      <c r="A15">
        <v>13</v>
      </c>
      <c r="B15" t="s">
        <v>359</v>
      </c>
      <c r="C15" s="17">
        <v>45453</v>
      </c>
      <c r="D15" s="17">
        <v>46032</v>
      </c>
      <c r="E15" s="18">
        <v>4850</v>
      </c>
      <c r="F15" s="18">
        <v>77550</v>
      </c>
      <c r="G15" s="18">
        <v>77550</v>
      </c>
      <c r="I15" s="17">
        <v>45981</v>
      </c>
      <c r="J15">
        <v>9384795608</v>
      </c>
    </row>
    <row r="16" spans="1:10" hidden="1" x14ac:dyDescent="0.3">
      <c r="A16">
        <v>14</v>
      </c>
      <c r="B16" t="s">
        <v>360</v>
      </c>
      <c r="C16" s="17">
        <v>45463</v>
      </c>
      <c r="D16" s="17">
        <v>46042</v>
      </c>
      <c r="E16" s="18">
        <v>4850</v>
      </c>
      <c r="F16" s="18">
        <v>77550</v>
      </c>
      <c r="G16" s="18">
        <v>42900</v>
      </c>
      <c r="H16" s="18">
        <v>34650</v>
      </c>
      <c r="I16" s="17">
        <v>45708</v>
      </c>
      <c r="J16">
        <v>7010670525</v>
      </c>
    </row>
    <row r="17" spans="1:10" hidden="1" x14ac:dyDescent="0.3">
      <c r="A17">
        <v>15</v>
      </c>
      <c r="B17" t="s">
        <v>361</v>
      </c>
      <c r="C17" s="17">
        <v>45463</v>
      </c>
      <c r="D17" s="17">
        <v>46042</v>
      </c>
      <c r="E17" s="18">
        <v>14550</v>
      </c>
      <c r="F17" s="18">
        <v>232650</v>
      </c>
      <c r="G17" s="18">
        <v>221000</v>
      </c>
      <c r="H17" s="18">
        <v>11650</v>
      </c>
      <c r="I17" s="17">
        <v>45993</v>
      </c>
      <c r="J17">
        <v>9597373693</v>
      </c>
    </row>
    <row r="18" spans="1:10" hidden="1" x14ac:dyDescent="0.3">
      <c r="A18">
        <v>16</v>
      </c>
      <c r="B18" t="s">
        <v>362</v>
      </c>
      <c r="C18" s="17">
        <v>45463</v>
      </c>
      <c r="D18" s="17">
        <v>46042</v>
      </c>
      <c r="E18" s="18">
        <v>4850</v>
      </c>
      <c r="F18" s="18">
        <v>77550</v>
      </c>
      <c r="G18" s="18">
        <v>68100</v>
      </c>
      <c r="H18" s="18">
        <v>9450</v>
      </c>
      <c r="I18" s="17">
        <v>45993</v>
      </c>
      <c r="J18">
        <v>9597733300</v>
      </c>
    </row>
    <row r="19" spans="1:10" hidden="1" x14ac:dyDescent="0.3">
      <c r="A19">
        <v>17</v>
      </c>
      <c r="B19" t="s">
        <v>363</v>
      </c>
      <c r="C19" s="17">
        <v>45463</v>
      </c>
      <c r="D19" s="17">
        <v>46042</v>
      </c>
      <c r="E19" s="18">
        <v>9700</v>
      </c>
      <c r="F19" s="18">
        <v>155100</v>
      </c>
      <c r="G19" s="18">
        <v>91350</v>
      </c>
      <c r="H19" s="18">
        <v>63750</v>
      </c>
      <c r="I19" s="17">
        <v>45918</v>
      </c>
      <c r="J19">
        <v>9944283210</v>
      </c>
    </row>
    <row r="20" spans="1:10" hidden="1" x14ac:dyDescent="0.3">
      <c r="A20">
        <v>18</v>
      </c>
      <c r="B20" t="s">
        <v>364</v>
      </c>
      <c r="C20" s="17">
        <v>45483</v>
      </c>
      <c r="D20" s="17">
        <v>46063</v>
      </c>
      <c r="E20" s="18">
        <v>9600</v>
      </c>
      <c r="F20" s="18">
        <v>145400</v>
      </c>
      <c r="G20" s="18">
        <v>128300</v>
      </c>
      <c r="H20" s="18">
        <v>17100</v>
      </c>
      <c r="I20" s="17">
        <v>45989</v>
      </c>
      <c r="J20">
        <v>9944084905</v>
      </c>
    </row>
    <row r="21" spans="1:10" hidden="1" x14ac:dyDescent="0.3">
      <c r="A21">
        <v>19</v>
      </c>
      <c r="B21" t="s">
        <v>365</v>
      </c>
      <c r="C21" s="17">
        <v>45453</v>
      </c>
      <c r="D21" s="17">
        <v>46032</v>
      </c>
      <c r="J21">
        <v>9965994197</v>
      </c>
    </row>
    <row r="22" spans="1:10" hidden="1" x14ac:dyDescent="0.3">
      <c r="A22">
        <v>20</v>
      </c>
      <c r="B22" t="s">
        <v>366</v>
      </c>
      <c r="C22" s="17">
        <v>45453</v>
      </c>
      <c r="D22" s="17">
        <v>46032</v>
      </c>
      <c r="J22">
        <v>9962094445</v>
      </c>
    </row>
    <row r="23" spans="1:10" hidden="1" x14ac:dyDescent="0.3">
      <c r="A23">
        <v>21</v>
      </c>
      <c r="B23" t="s">
        <v>367</v>
      </c>
      <c r="C23" s="17">
        <v>45453</v>
      </c>
      <c r="D23" s="17">
        <v>46032</v>
      </c>
      <c r="J23">
        <v>9962094445</v>
      </c>
    </row>
    <row r="24" spans="1:10" hidden="1" x14ac:dyDescent="0.3">
      <c r="A24">
        <v>22</v>
      </c>
      <c r="B24" t="s">
        <v>368</v>
      </c>
      <c r="C24" s="17">
        <v>45422</v>
      </c>
      <c r="D24" s="17">
        <v>46001</v>
      </c>
      <c r="E24" s="18">
        <v>24750</v>
      </c>
      <c r="F24" s="18">
        <v>412500</v>
      </c>
      <c r="G24" s="18">
        <v>412500</v>
      </c>
      <c r="I24" s="17">
        <v>45967</v>
      </c>
      <c r="J24">
        <v>9524068353</v>
      </c>
    </row>
    <row r="25" spans="1:10" hidden="1" x14ac:dyDescent="0.3">
      <c r="A25">
        <v>23</v>
      </c>
      <c r="B25" t="s">
        <v>369</v>
      </c>
      <c r="C25" s="17">
        <v>45422</v>
      </c>
      <c r="D25" s="17">
        <v>46001</v>
      </c>
      <c r="E25" s="18">
        <v>4950</v>
      </c>
      <c r="F25" s="18">
        <v>82500</v>
      </c>
      <c r="G25" s="18">
        <v>26000</v>
      </c>
      <c r="H25" s="18">
        <v>56500</v>
      </c>
      <c r="I25" s="17">
        <v>45727</v>
      </c>
      <c r="J25">
        <v>9514588127</v>
      </c>
    </row>
    <row r="26" spans="1:10" hidden="1" x14ac:dyDescent="0.3">
      <c r="A26">
        <v>24</v>
      </c>
      <c r="B26" t="s">
        <v>370</v>
      </c>
      <c r="C26" s="17">
        <v>45453</v>
      </c>
      <c r="D26" s="17">
        <v>46032</v>
      </c>
      <c r="J26">
        <v>9942668264</v>
      </c>
    </row>
    <row r="27" spans="1:10" hidden="1" x14ac:dyDescent="0.3">
      <c r="A27">
        <v>25</v>
      </c>
      <c r="B27" t="s">
        <v>371</v>
      </c>
      <c r="C27" s="17">
        <v>45483</v>
      </c>
      <c r="D27" s="17">
        <v>46063</v>
      </c>
      <c r="E27" s="18">
        <v>4800</v>
      </c>
      <c r="F27" s="18">
        <v>72700</v>
      </c>
      <c r="G27" s="18">
        <v>72700</v>
      </c>
      <c r="I27" s="17">
        <v>45971</v>
      </c>
      <c r="J27">
        <v>6379183331</v>
      </c>
    </row>
    <row r="28" spans="1:10" hidden="1" x14ac:dyDescent="0.3">
      <c r="A28">
        <v>26</v>
      </c>
      <c r="B28" t="s">
        <v>372</v>
      </c>
      <c r="C28" s="17">
        <v>45483</v>
      </c>
      <c r="D28" s="17">
        <v>46063</v>
      </c>
      <c r="E28" s="18">
        <v>4800</v>
      </c>
      <c r="F28" s="18">
        <v>72700</v>
      </c>
      <c r="G28" s="18">
        <v>72700</v>
      </c>
      <c r="I28" s="17">
        <v>45988</v>
      </c>
      <c r="J28">
        <v>9865522901</v>
      </c>
    </row>
    <row r="29" spans="1:10" hidden="1" x14ac:dyDescent="0.3">
      <c r="A29">
        <v>27</v>
      </c>
      <c r="B29" t="s">
        <v>373</v>
      </c>
      <c r="C29" s="17">
        <v>45483</v>
      </c>
      <c r="D29" s="17">
        <v>46063</v>
      </c>
      <c r="J29">
        <v>9597371111</v>
      </c>
    </row>
    <row r="30" spans="1:10" hidden="1" x14ac:dyDescent="0.3">
      <c r="A30">
        <v>28</v>
      </c>
      <c r="B30" t="s">
        <v>374</v>
      </c>
      <c r="C30" s="17">
        <v>45483</v>
      </c>
      <c r="D30" s="17">
        <v>46063</v>
      </c>
      <c r="E30" s="18">
        <v>4800</v>
      </c>
      <c r="F30" s="18">
        <v>72700</v>
      </c>
      <c r="G30" s="18">
        <v>68050</v>
      </c>
      <c r="H30" s="18">
        <v>4650</v>
      </c>
      <c r="I30" s="17">
        <v>45953</v>
      </c>
      <c r="J30">
        <v>9597371111</v>
      </c>
    </row>
    <row r="31" spans="1:10" hidden="1" x14ac:dyDescent="0.3">
      <c r="A31">
        <v>29</v>
      </c>
      <c r="B31" t="s">
        <v>375</v>
      </c>
      <c r="C31" s="17">
        <v>45514</v>
      </c>
      <c r="D31" s="17">
        <v>46244</v>
      </c>
      <c r="E31" s="18">
        <v>17750</v>
      </c>
      <c r="F31" s="18">
        <v>266500</v>
      </c>
      <c r="G31" s="18">
        <v>254600</v>
      </c>
      <c r="H31" s="18">
        <v>11900</v>
      </c>
      <c r="I31" s="17">
        <v>45993</v>
      </c>
      <c r="J31" t="s">
        <v>376</v>
      </c>
    </row>
    <row r="32" spans="1:10" hidden="1" x14ac:dyDescent="0.3">
      <c r="A32">
        <v>30</v>
      </c>
      <c r="B32" t="s">
        <v>377</v>
      </c>
      <c r="C32" s="17">
        <v>45483</v>
      </c>
      <c r="D32" s="17">
        <v>46063</v>
      </c>
      <c r="E32" s="18">
        <v>14400</v>
      </c>
      <c r="F32" s="18">
        <v>218100</v>
      </c>
      <c r="G32" s="18">
        <v>204150</v>
      </c>
      <c r="H32" s="18">
        <v>13950</v>
      </c>
      <c r="I32" s="17">
        <v>45976</v>
      </c>
      <c r="J32" t="s">
        <v>378</v>
      </c>
    </row>
    <row r="33" spans="1:10" hidden="1" x14ac:dyDescent="0.3">
      <c r="A33">
        <v>31</v>
      </c>
      <c r="B33" t="s">
        <v>379</v>
      </c>
      <c r="C33" s="17">
        <v>45483</v>
      </c>
      <c r="D33" s="17">
        <v>46063</v>
      </c>
      <c r="J33">
        <v>9344970951</v>
      </c>
    </row>
    <row r="34" spans="1:10" hidden="1" x14ac:dyDescent="0.3">
      <c r="A34">
        <v>32</v>
      </c>
      <c r="B34" t="s">
        <v>380</v>
      </c>
      <c r="C34" s="17">
        <v>45483</v>
      </c>
      <c r="D34" s="17">
        <v>46063</v>
      </c>
      <c r="E34" s="18">
        <v>24000</v>
      </c>
      <c r="F34" s="18">
        <v>363500</v>
      </c>
      <c r="G34" s="18">
        <v>363000</v>
      </c>
      <c r="H34">
        <v>500</v>
      </c>
      <c r="I34" s="17">
        <v>45993</v>
      </c>
      <c r="J34" t="s">
        <v>381</v>
      </c>
    </row>
    <row r="35" spans="1:10" hidden="1" x14ac:dyDescent="0.3">
      <c r="A35">
        <v>33</v>
      </c>
      <c r="B35" t="s">
        <v>382</v>
      </c>
      <c r="C35" s="17">
        <v>45483</v>
      </c>
      <c r="D35" s="17">
        <v>46063</v>
      </c>
      <c r="J35" t="s">
        <v>383</v>
      </c>
    </row>
    <row r="36" spans="1:10" hidden="1" x14ac:dyDescent="0.3">
      <c r="A36">
        <v>34</v>
      </c>
      <c r="B36" t="s">
        <v>384</v>
      </c>
      <c r="C36" s="17">
        <v>45453</v>
      </c>
      <c r="D36" s="17">
        <v>46032</v>
      </c>
      <c r="J36">
        <v>8144447766</v>
      </c>
    </row>
    <row r="37" spans="1:10" hidden="1" x14ac:dyDescent="0.3">
      <c r="A37">
        <v>35</v>
      </c>
      <c r="B37" t="s">
        <v>385</v>
      </c>
      <c r="C37" s="17">
        <v>45493</v>
      </c>
      <c r="D37" s="17">
        <v>46223</v>
      </c>
      <c r="E37" s="18">
        <v>3600</v>
      </c>
      <c r="F37" s="18">
        <v>56900</v>
      </c>
      <c r="G37" s="18">
        <v>38050</v>
      </c>
      <c r="H37" s="18">
        <v>18850</v>
      </c>
      <c r="I37" s="17">
        <v>45981</v>
      </c>
      <c r="J37">
        <v>9443694527</v>
      </c>
    </row>
    <row r="38" spans="1:10" hidden="1" x14ac:dyDescent="0.3">
      <c r="A38">
        <v>36</v>
      </c>
      <c r="B38" t="s">
        <v>386</v>
      </c>
      <c r="C38" s="17">
        <v>45493</v>
      </c>
      <c r="D38" s="17">
        <v>46073</v>
      </c>
      <c r="E38" s="18">
        <v>24000</v>
      </c>
      <c r="F38" s="18">
        <v>363500</v>
      </c>
      <c r="G38" s="18">
        <v>363500</v>
      </c>
      <c r="I38" s="17">
        <v>45989</v>
      </c>
      <c r="J38">
        <v>8778171337</v>
      </c>
    </row>
    <row r="39" spans="1:10" hidden="1" x14ac:dyDescent="0.3">
      <c r="A39">
        <v>37</v>
      </c>
      <c r="B39" t="s">
        <v>387</v>
      </c>
      <c r="C39" s="17">
        <v>45636</v>
      </c>
      <c r="D39" s="17">
        <v>46213</v>
      </c>
      <c r="J39">
        <v>7373580737</v>
      </c>
    </row>
    <row r="40" spans="1:10" hidden="1" x14ac:dyDescent="0.3">
      <c r="A40">
        <v>38</v>
      </c>
      <c r="B40" t="s">
        <v>388</v>
      </c>
      <c r="C40" s="17">
        <v>45514</v>
      </c>
      <c r="D40" s="17">
        <v>46091</v>
      </c>
      <c r="E40" s="18">
        <v>9300</v>
      </c>
      <c r="F40" s="18">
        <v>135800</v>
      </c>
      <c r="G40" s="18">
        <v>135800</v>
      </c>
      <c r="I40" s="17">
        <v>45993</v>
      </c>
      <c r="J40">
        <v>9940702677</v>
      </c>
    </row>
    <row r="41" spans="1:10" hidden="1" x14ac:dyDescent="0.3">
      <c r="A41">
        <v>39</v>
      </c>
      <c r="B41" t="s">
        <v>389</v>
      </c>
      <c r="C41" s="17">
        <v>45524</v>
      </c>
      <c r="D41" s="17">
        <v>46101</v>
      </c>
      <c r="E41" s="18">
        <v>13950</v>
      </c>
      <c r="F41" s="18">
        <v>203700</v>
      </c>
      <c r="G41" s="18">
        <v>203700</v>
      </c>
      <c r="I41" s="17">
        <v>45969</v>
      </c>
      <c r="J41">
        <v>9443017476</v>
      </c>
    </row>
    <row r="42" spans="1:10" hidden="1" x14ac:dyDescent="0.3">
      <c r="A42">
        <v>40</v>
      </c>
      <c r="B42" t="s">
        <v>390</v>
      </c>
      <c r="C42" s="17">
        <v>45545</v>
      </c>
      <c r="D42" s="17">
        <v>46122</v>
      </c>
      <c r="J42">
        <v>9944114433</v>
      </c>
    </row>
    <row r="43" spans="1:10" hidden="1" x14ac:dyDescent="0.3">
      <c r="A43">
        <v>41</v>
      </c>
      <c r="B43" t="s">
        <v>391</v>
      </c>
      <c r="C43" s="17">
        <v>45514</v>
      </c>
      <c r="D43" s="17">
        <v>46091</v>
      </c>
      <c r="E43" s="18">
        <v>13950</v>
      </c>
      <c r="F43" s="18">
        <v>203700</v>
      </c>
      <c r="G43" s="18">
        <v>203700</v>
      </c>
      <c r="I43" s="17">
        <v>45971</v>
      </c>
      <c r="J43">
        <v>9894431394</v>
      </c>
    </row>
    <row r="44" spans="1:10" hidden="1" x14ac:dyDescent="0.3">
      <c r="A44">
        <v>42</v>
      </c>
      <c r="B44" t="s">
        <v>392</v>
      </c>
      <c r="C44" s="17">
        <v>45514</v>
      </c>
      <c r="D44" s="17">
        <v>46091</v>
      </c>
      <c r="E44" s="18">
        <v>9300</v>
      </c>
      <c r="F44" s="18">
        <v>135800</v>
      </c>
      <c r="G44" s="18">
        <v>135800</v>
      </c>
      <c r="I44" s="17">
        <v>45992</v>
      </c>
      <c r="J44" t="s">
        <v>393</v>
      </c>
    </row>
    <row r="45" spans="1:10" hidden="1" x14ac:dyDescent="0.3">
      <c r="A45">
        <v>43</v>
      </c>
      <c r="B45" t="s">
        <v>394</v>
      </c>
      <c r="C45" s="17">
        <v>45483</v>
      </c>
      <c r="D45" s="17">
        <v>46063</v>
      </c>
      <c r="E45" s="18">
        <v>14400</v>
      </c>
      <c r="F45" s="18">
        <v>218100</v>
      </c>
      <c r="G45" s="18">
        <v>111450</v>
      </c>
      <c r="H45" s="18">
        <v>106650</v>
      </c>
      <c r="I45" s="17">
        <v>45740</v>
      </c>
      <c r="J45">
        <v>8807322007</v>
      </c>
    </row>
    <row r="46" spans="1:10" hidden="1" x14ac:dyDescent="0.3">
      <c r="A46">
        <v>44</v>
      </c>
      <c r="B46" t="s">
        <v>395</v>
      </c>
      <c r="C46" s="17">
        <v>45483</v>
      </c>
      <c r="D46" s="17">
        <v>46063</v>
      </c>
      <c r="E46" s="18">
        <v>14400</v>
      </c>
      <c r="F46" s="18">
        <v>218100</v>
      </c>
      <c r="G46" s="18">
        <v>111450</v>
      </c>
      <c r="H46" s="18">
        <v>106650</v>
      </c>
      <c r="I46" s="17">
        <v>45740</v>
      </c>
      <c r="J46">
        <v>8807322007</v>
      </c>
    </row>
    <row r="47" spans="1:10" hidden="1" x14ac:dyDescent="0.3">
      <c r="A47">
        <v>45</v>
      </c>
      <c r="B47" t="s">
        <v>396</v>
      </c>
      <c r="C47" s="17">
        <v>45545</v>
      </c>
      <c r="D47" s="17">
        <v>46275</v>
      </c>
      <c r="E47" s="18">
        <v>35000</v>
      </c>
      <c r="F47" s="18">
        <v>497500</v>
      </c>
      <c r="G47" s="18">
        <v>194100</v>
      </c>
      <c r="H47" s="18">
        <v>303400</v>
      </c>
      <c r="I47" s="17">
        <v>45884</v>
      </c>
      <c r="J47">
        <v>8903224730</v>
      </c>
    </row>
    <row r="48" spans="1:10" hidden="1" x14ac:dyDescent="0.3">
      <c r="A48">
        <v>46</v>
      </c>
      <c r="B48" t="s">
        <v>397</v>
      </c>
      <c r="C48" s="17">
        <v>45545</v>
      </c>
      <c r="D48" s="17">
        <v>46122</v>
      </c>
      <c r="E48" s="18">
        <v>45500</v>
      </c>
      <c r="F48" s="18">
        <v>632500</v>
      </c>
      <c r="G48" s="18">
        <v>618100</v>
      </c>
      <c r="H48" s="18">
        <v>14400</v>
      </c>
      <c r="I48" s="17">
        <v>45993</v>
      </c>
      <c r="J48">
        <v>9940381378</v>
      </c>
    </row>
    <row r="49" spans="1:10" hidden="1" x14ac:dyDescent="0.3">
      <c r="A49">
        <v>47</v>
      </c>
      <c r="B49" t="s">
        <v>398</v>
      </c>
      <c r="C49" s="17">
        <v>45514</v>
      </c>
      <c r="D49" s="17">
        <v>46091</v>
      </c>
      <c r="J49">
        <v>9543530652</v>
      </c>
    </row>
    <row r="50" spans="1:10" hidden="1" x14ac:dyDescent="0.3">
      <c r="A50">
        <v>48</v>
      </c>
      <c r="B50" t="s">
        <v>399</v>
      </c>
      <c r="C50" s="17">
        <v>45575</v>
      </c>
      <c r="D50" s="17">
        <v>46152</v>
      </c>
      <c r="J50">
        <v>8144447766</v>
      </c>
    </row>
    <row r="51" spans="1:10" hidden="1" x14ac:dyDescent="0.3">
      <c r="A51">
        <v>49</v>
      </c>
      <c r="B51" t="s">
        <v>400</v>
      </c>
      <c r="C51" s="17">
        <v>45545</v>
      </c>
      <c r="D51" s="17">
        <v>46122</v>
      </c>
      <c r="E51" s="18">
        <v>4550</v>
      </c>
      <c r="F51" s="18">
        <v>63250</v>
      </c>
      <c r="G51" s="18">
        <v>54400</v>
      </c>
      <c r="H51" s="18">
        <v>8850</v>
      </c>
      <c r="I51" s="17">
        <v>45964</v>
      </c>
      <c r="J51">
        <v>8248986254</v>
      </c>
    </row>
    <row r="52" spans="1:10" hidden="1" x14ac:dyDescent="0.3">
      <c r="A52">
        <v>50</v>
      </c>
      <c r="B52" t="s">
        <v>401</v>
      </c>
      <c r="C52" s="17">
        <v>45545</v>
      </c>
      <c r="D52" s="17">
        <v>46122</v>
      </c>
      <c r="J52">
        <v>9095571777</v>
      </c>
    </row>
    <row r="53" spans="1:10" hidden="1" x14ac:dyDescent="0.3">
      <c r="A53">
        <v>51</v>
      </c>
      <c r="B53" t="s">
        <v>402</v>
      </c>
      <c r="C53" s="17">
        <v>45590</v>
      </c>
      <c r="D53" s="17">
        <v>46167</v>
      </c>
      <c r="E53" s="18">
        <v>8950</v>
      </c>
      <c r="F53" s="18">
        <v>117400</v>
      </c>
      <c r="G53" s="18">
        <v>117400</v>
      </c>
      <c r="I53" s="17">
        <v>45993</v>
      </c>
      <c r="J53">
        <v>9842742062</v>
      </c>
    </row>
    <row r="54" spans="1:10" hidden="1" x14ac:dyDescent="0.3">
      <c r="A54">
        <v>52</v>
      </c>
      <c r="B54" t="s">
        <v>403</v>
      </c>
      <c r="C54" s="17">
        <v>45590</v>
      </c>
      <c r="D54" s="17">
        <v>46167</v>
      </c>
      <c r="E54" s="18">
        <v>4475</v>
      </c>
      <c r="F54" s="18">
        <v>58700</v>
      </c>
      <c r="G54" s="18">
        <v>57300</v>
      </c>
      <c r="H54" s="18">
        <v>1400</v>
      </c>
      <c r="I54" s="17">
        <v>45993</v>
      </c>
      <c r="J54">
        <v>9787806780</v>
      </c>
    </row>
    <row r="55" spans="1:10" hidden="1" x14ac:dyDescent="0.3">
      <c r="A55">
        <v>53</v>
      </c>
      <c r="B55" t="s">
        <v>404</v>
      </c>
      <c r="C55" s="17">
        <v>45575</v>
      </c>
      <c r="D55" s="17">
        <v>46152</v>
      </c>
      <c r="E55" s="18">
        <v>8950</v>
      </c>
      <c r="F55" s="18">
        <v>117400</v>
      </c>
      <c r="G55" s="18">
        <v>91100</v>
      </c>
      <c r="H55" s="18">
        <v>26300</v>
      </c>
      <c r="I55" s="17">
        <v>45878</v>
      </c>
      <c r="J55">
        <v>8220312436</v>
      </c>
    </row>
    <row r="56" spans="1:10" hidden="1" x14ac:dyDescent="0.3">
      <c r="A56">
        <v>54</v>
      </c>
      <c r="B56" t="s">
        <v>405</v>
      </c>
      <c r="C56" s="17">
        <v>45606</v>
      </c>
      <c r="D56" s="17">
        <v>46183</v>
      </c>
      <c r="E56" s="18">
        <v>22000</v>
      </c>
      <c r="F56" s="18">
        <v>271125</v>
      </c>
      <c r="G56" s="18">
        <v>261750</v>
      </c>
      <c r="H56" s="18">
        <v>9375</v>
      </c>
      <c r="I56" s="17">
        <v>45993</v>
      </c>
      <c r="J56">
        <v>9095571777</v>
      </c>
    </row>
    <row r="57" spans="1:10" hidden="1" x14ac:dyDescent="0.3">
      <c r="A57">
        <v>55</v>
      </c>
      <c r="B57" t="s">
        <v>406</v>
      </c>
      <c r="C57" s="17">
        <v>45621</v>
      </c>
      <c r="D57" s="17">
        <v>46198</v>
      </c>
      <c r="E57" s="18">
        <v>4400</v>
      </c>
      <c r="F57" s="18">
        <v>54225</v>
      </c>
      <c r="G57" s="18">
        <v>35400</v>
      </c>
      <c r="H57" s="18">
        <v>18825</v>
      </c>
      <c r="I57" s="17">
        <v>45989</v>
      </c>
      <c r="J57">
        <v>8270369405</v>
      </c>
    </row>
    <row r="58" spans="1:10" hidden="1" x14ac:dyDescent="0.3">
      <c r="A58">
        <v>56</v>
      </c>
      <c r="B58" t="s">
        <v>407</v>
      </c>
      <c r="C58" s="17">
        <v>45651</v>
      </c>
      <c r="D58" s="17">
        <v>46228</v>
      </c>
      <c r="E58" s="18">
        <v>12900</v>
      </c>
      <c r="F58" s="18">
        <v>149475</v>
      </c>
      <c r="G58" s="18">
        <v>149475</v>
      </c>
      <c r="I58" s="17">
        <v>45993</v>
      </c>
      <c r="J58">
        <v>9498118080</v>
      </c>
    </row>
    <row r="59" spans="1:10" hidden="1" x14ac:dyDescent="0.3">
      <c r="A59">
        <v>57</v>
      </c>
      <c r="B59" t="s">
        <v>408</v>
      </c>
      <c r="C59" s="17">
        <v>45651</v>
      </c>
      <c r="D59" s="17">
        <v>46228</v>
      </c>
      <c r="E59" s="18">
        <v>4300</v>
      </c>
      <c r="F59" s="18">
        <v>49825</v>
      </c>
      <c r="G59" s="18">
        <v>49825</v>
      </c>
      <c r="I59" s="17">
        <v>45990</v>
      </c>
      <c r="J59">
        <v>8883825328</v>
      </c>
    </row>
    <row r="60" spans="1:10" hidden="1" x14ac:dyDescent="0.3">
      <c r="A60">
        <v>58</v>
      </c>
      <c r="B60" t="s">
        <v>409</v>
      </c>
      <c r="C60" s="17">
        <v>45636</v>
      </c>
      <c r="D60" s="17">
        <v>46366</v>
      </c>
      <c r="E60" s="18">
        <v>10050</v>
      </c>
      <c r="F60" s="18">
        <v>118200</v>
      </c>
      <c r="G60" s="18">
        <v>118200</v>
      </c>
      <c r="I60" s="17">
        <v>45973</v>
      </c>
      <c r="J60">
        <v>9940757575</v>
      </c>
    </row>
    <row r="61" spans="1:10" hidden="1" x14ac:dyDescent="0.3">
      <c r="A61">
        <v>59</v>
      </c>
      <c r="B61" t="s">
        <v>410</v>
      </c>
      <c r="C61" s="17">
        <v>45682</v>
      </c>
      <c r="D61" s="17">
        <v>46412</v>
      </c>
      <c r="E61" s="18">
        <v>16250</v>
      </c>
      <c r="F61" s="18">
        <v>180250</v>
      </c>
      <c r="G61" s="18">
        <v>132800</v>
      </c>
      <c r="H61" s="18">
        <v>47450</v>
      </c>
      <c r="I61" s="17">
        <v>45993</v>
      </c>
      <c r="J61" t="s">
        <v>376</v>
      </c>
    </row>
    <row r="62" spans="1:10" hidden="1" x14ac:dyDescent="0.3">
      <c r="A62">
        <v>60</v>
      </c>
      <c r="B62" t="s">
        <v>411</v>
      </c>
      <c r="C62" s="17">
        <v>45667</v>
      </c>
      <c r="D62" s="17">
        <v>46244</v>
      </c>
      <c r="E62" s="18">
        <v>12675</v>
      </c>
      <c r="F62" s="18">
        <v>136575</v>
      </c>
      <c r="G62" s="18">
        <v>136575</v>
      </c>
      <c r="I62" s="17">
        <v>45971</v>
      </c>
      <c r="J62" t="s">
        <v>412</v>
      </c>
    </row>
    <row r="63" spans="1:10" hidden="1" x14ac:dyDescent="0.3">
      <c r="A63">
        <v>61</v>
      </c>
      <c r="B63" t="s">
        <v>413</v>
      </c>
      <c r="C63" s="17">
        <v>45667</v>
      </c>
      <c r="D63" s="17">
        <v>46244</v>
      </c>
      <c r="E63" s="18">
        <v>4225</v>
      </c>
      <c r="F63" s="18">
        <v>45525</v>
      </c>
      <c r="G63" s="18">
        <v>37250</v>
      </c>
      <c r="H63" s="18">
        <v>8275</v>
      </c>
      <c r="I63" s="17">
        <v>45964</v>
      </c>
      <c r="J63">
        <v>8248986254</v>
      </c>
    </row>
    <row r="64" spans="1:10" hidden="1" x14ac:dyDescent="0.3">
      <c r="A64">
        <v>62</v>
      </c>
      <c r="B64" t="s">
        <v>414</v>
      </c>
      <c r="C64" s="17">
        <v>45682</v>
      </c>
      <c r="D64" s="17">
        <v>46259</v>
      </c>
      <c r="E64" s="18">
        <v>8450</v>
      </c>
      <c r="F64" s="18">
        <v>91050</v>
      </c>
      <c r="G64" s="18">
        <v>72700</v>
      </c>
      <c r="H64" s="18">
        <v>18350</v>
      </c>
      <c r="I64" s="17">
        <v>45993</v>
      </c>
      <c r="J64">
        <v>7010705093</v>
      </c>
    </row>
    <row r="65" spans="1:10" hidden="1" x14ac:dyDescent="0.3">
      <c r="A65">
        <v>63</v>
      </c>
      <c r="B65" t="s">
        <v>415</v>
      </c>
      <c r="C65" s="17">
        <v>45713</v>
      </c>
      <c r="D65" s="17">
        <v>46443</v>
      </c>
      <c r="E65" s="18">
        <v>3200</v>
      </c>
      <c r="F65" s="18">
        <v>32800</v>
      </c>
      <c r="G65" s="18">
        <v>31650</v>
      </c>
      <c r="H65" s="18">
        <v>1150</v>
      </c>
      <c r="I65" s="17">
        <v>45993</v>
      </c>
      <c r="J65">
        <v>7358826911</v>
      </c>
    </row>
    <row r="66" spans="1:10" hidden="1" x14ac:dyDescent="0.3">
      <c r="A66">
        <v>64</v>
      </c>
      <c r="B66" t="s">
        <v>416</v>
      </c>
      <c r="C66" s="17">
        <v>45713</v>
      </c>
      <c r="D66" s="17">
        <v>46290</v>
      </c>
      <c r="E66" s="18">
        <v>20750</v>
      </c>
      <c r="F66" s="18">
        <v>206500</v>
      </c>
      <c r="G66" s="18">
        <v>205700</v>
      </c>
      <c r="H66">
        <v>800</v>
      </c>
      <c r="I66" s="17">
        <v>45993</v>
      </c>
      <c r="J66">
        <v>8778171337</v>
      </c>
    </row>
    <row r="67" spans="1:10" hidden="1" x14ac:dyDescent="0.3">
      <c r="A67">
        <v>65</v>
      </c>
      <c r="B67" t="s">
        <v>417</v>
      </c>
      <c r="C67" s="17">
        <v>45713</v>
      </c>
      <c r="D67" s="17">
        <v>46290</v>
      </c>
      <c r="E67" s="18">
        <v>41500</v>
      </c>
      <c r="F67" s="18">
        <v>413000</v>
      </c>
      <c r="G67" s="18">
        <v>408000</v>
      </c>
      <c r="H67" s="18">
        <v>5000</v>
      </c>
      <c r="I67" s="17">
        <v>45993</v>
      </c>
      <c r="J67">
        <v>8778171337</v>
      </c>
    </row>
    <row r="68" spans="1:10" hidden="1" x14ac:dyDescent="0.3">
      <c r="A68">
        <v>66</v>
      </c>
      <c r="B68" t="s">
        <v>418</v>
      </c>
      <c r="C68" s="17">
        <v>45713</v>
      </c>
      <c r="D68" s="17">
        <v>46290</v>
      </c>
      <c r="E68" s="18">
        <v>8300</v>
      </c>
      <c r="F68" s="18">
        <v>82600</v>
      </c>
      <c r="G68" s="18">
        <v>82600</v>
      </c>
      <c r="I68" s="17">
        <v>45969</v>
      </c>
      <c r="J68">
        <v>9500520653</v>
      </c>
    </row>
    <row r="69" spans="1:10" hidden="1" x14ac:dyDescent="0.3">
      <c r="A69">
        <v>67</v>
      </c>
      <c r="B69" t="s">
        <v>419</v>
      </c>
      <c r="C69" s="17">
        <v>45713</v>
      </c>
      <c r="D69" s="17">
        <v>46290</v>
      </c>
      <c r="E69" s="18">
        <v>12450</v>
      </c>
      <c r="F69" s="18">
        <v>123900</v>
      </c>
      <c r="G69" s="18">
        <v>82500</v>
      </c>
      <c r="H69" s="18">
        <v>41400</v>
      </c>
      <c r="I69" s="17">
        <v>45993</v>
      </c>
      <c r="J69">
        <v>9944625900</v>
      </c>
    </row>
    <row r="70" spans="1:10" hidden="1" x14ac:dyDescent="0.3">
      <c r="A70">
        <v>68</v>
      </c>
      <c r="B70" t="s">
        <v>420</v>
      </c>
      <c r="C70" s="17">
        <v>45713</v>
      </c>
      <c r="D70" s="17">
        <v>46290</v>
      </c>
      <c r="E70" s="18">
        <v>12450</v>
      </c>
      <c r="F70" s="18">
        <v>123900</v>
      </c>
      <c r="G70" s="18">
        <v>20500</v>
      </c>
      <c r="H70" s="18">
        <v>103400</v>
      </c>
      <c r="I70" s="17">
        <v>45763</v>
      </c>
      <c r="J70">
        <v>9344970951</v>
      </c>
    </row>
    <row r="71" spans="1:10" hidden="1" x14ac:dyDescent="0.3">
      <c r="A71">
        <v>69</v>
      </c>
      <c r="B71" t="s">
        <v>421</v>
      </c>
      <c r="C71" s="17">
        <v>45713</v>
      </c>
      <c r="D71" s="17">
        <v>46290</v>
      </c>
      <c r="E71" s="18">
        <v>8300</v>
      </c>
      <c r="F71" s="18">
        <v>82600</v>
      </c>
      <c r="G71" s="18">
        <v>81600</v>
      </c>
      <c r="H71" s="18">
        <v>1000</v>
      </c>
      <c r="I71" s="17">
        <v>45993</v>
      </c>
      <c r="J71">
        <v>9787105543</v>
      </c>
    </row>
    <row r="72" spans="1:10" x14ac:dyDescent="0.3">
      <c r="A72">
        <v>70</v>
      </c>
      <c r="B72" t="s">
        <v>422</v>
      </c>
      <c r="C72" s="17">
        <v>45698</v>
      </c>
      <c r="D72" s="17">
        <v>46275</v>
      </c>
      <c r="E72" s="18">
        <v>20750</v>
      </c>
      <c r="F72" s="18">
        <v>206500</v>
      </c>
      <c r="G72" s="18">
        <v>65000</v>
      </c>
      <c r="H72" s="18">
        <v>141500</v>
      </c>
      <c r="I72" s="17">
        <v>45807</v>
      </c>
      <c r="J72">
        <v>9843352555</v>
      </c>
    </row>
    <row r="73" spans="1:10" hidden="1" x14ac:dyDescent="0.3">
      <c r="A73">
        <v>71</v>
      </c>
      <c r="B73" t="s">
        <v>423</v>
      </c>
      <c r="C73" s="17">
        <v>45698</v>
      </c>
      <c r="D73" s="17">
        <v>46275</v>
      </c>
      <c r="E73" s="18">
        <v>12450</v>
      </c>
      <c r="F73" s="18">
        <v>123900</v>
      </c>
      <c r="G73" s="18">
        <v>99300</v>
      </c>
      <c r="H73" s="18">
        <v>24600</v>
      </c>
      <c r="I73" s="17">
        <v>45972</v>
      </c>
      <c r="J73">
        <v>908004004</v>
      </c>
    </row>
    <row r="74" spans="1:10" hidden="1" x14ac:dyDescent="0.3">
      <c r="A74">
        <v>72</v>
      </c>
      <c r="B74" t="s">
        <v>424</v>
      </c>
      <c r="C74" s="17">
        <v>45741</v>
      </c>
      <c r="D74" s="17">
        <v>46320</v>
      </c>
      <c r="E74" s="18">
        <v>4100</v>
      </c>
      <c r="F74" s="18">
        <v>37150</v>
      </c>
      <c r="G74" s="18">
        <v>5000</v>
      </c>
      <c r="H74" s="18">
        <v>32150</v>
      </c>
      <c r="I74" s="17">
        <v>45901</v>
      </c>
      <c r="J74">
        <v>7667662797</v>
      </c>
    </row>
    <row r="75" spans="1:10" hidden="1" x14ac:dyDescent="0.3">
      <c r="A75">
        <v>73</v>
      </c>
      <c r="B75" t="s">
        <v>425</v>
      </c>
      <c r="C75" s="17">
        <v>45741</v>
      </c>
      <c r="D75" s="17">
        <v>46320</v>
      </c>
      <c r="E75" s="18">
        <v>20500</v>
      </c>
      <c r="F75" s="18">
        <v>185750</v>
      </c>
      <c r="G75" s="18">
        <v>185750</v>
      </c>
      <c r="I75" s="17">
        <v>45993</v>
      </c>
      <c r="J75">
        <v>9498118080</v>
      </c>
    </row>
    <row r="76" spans="1:10" hidden="1" x14ac:dyDescent="0.3">
      <c r="A76">
        <v>74</v>
      </c>
      <c r="B76" t="s">
        <v>426</v>
      </c>
      <c r="C76" s="17">
        <v>45741</v>
      </c>
      <c r="D76" s="17">
        <v>46320</v>
      </c>
      <c r="E76" s="18">
        <v>8200</v>
      </c>
      <c r="F76" s="18">
        <v>74300</v>
      </c>
      <c r="G76" s="18">
        <v>74300</v>
      </c>
      <c r="I76" s="17">
        <v>45989</v>
      </c>
      <c r="J76">
        <v>7449058951</v>
      </c>
    </row>
    <row r="77" spans="1:10" hidden="1" x14ac:dyDescent="0.3">
      <c r="A77">
        <v>75</v>
      </c>
      <c r="B77" t="s">
        <v>427</v>
      </c>
      <c r="C77" s="17">
        <v>45667</v>
      </c>
      <c r="D77" s="17">
        <v>46244</v>
      </c>
      <c r="E77" s="18">
        <v>84500</v>
      </c>
      <c r="F77" s="18">
        <v>910500</v>
      </c>
      <c r="G77" s="18">
        <v>826000</v>
      </c>
      <c r="H77" s="18">
        <v>84500</v>
      </c>
      <c r="I77" s="17">
        <v>45953</v>
      </c>
      <c r="J77">
        <v>9597371111</v>
      </c>
    </row>
    <row r="78" spans="1:10" hidden="1" x14ac:dyDescent="0.3">
      <c r="A78">
        <v>76</v>
      </c>
      <c r="B78" t="s">
        <v>428</v>
      </c>
      <c r="C78" s="17">
        <v>45726</v>
      </c>
      <c r="D78" s="17">
        <v>46001</v>
      </c>
      <c r="E78" s="18">
        <v>19200</v>
      </c>
      <c r="F78" s="18">
        <v>156000</v>
      </c>
      <c r="G78" s="18">
        <v>156000</v>
      </c>
      <c r="I78" s="17">
        <v>45972</v>
      </c>
      <c r="J78">
        <v>9092024256</v>
      </c>
    </row>
    <row r="79" spans="1:10" hidden="1" x14ac:dyDescent="0.3">
      <c r="A79">
        <v>77</v>
      </c>
      <c r="B79" t="s">
        <v>429</v>
      </c>
      <c r="C79" s="17">
        <v>45726</v>
      </c>
      <c r="D79" s="17">
        <v>46001</v>
      </c>
      <c r="E79" s="18">
        <v>9600</v>
      </c>
      <c r="F79" s="18">
        <v>78000</v>
      </c>
      <c r="G79" s="18">
        <v>78000</v>
      </c>
      <c r="I79" s="17">
        <v>45972</v>
      </c>
      <c r="J79">
        <v>9092024256</v>
      </c>
    </row>
    <row r="80" spans="1:10" x14ac:dyDescent="0.3">
      <c r="A80">
        <v>78</v>
      </c>
      <c r="B80" t="s">
        <v>430</v>
      </c>
      <c r="C80" s="17">
        <v>45741</v>
      </c>
      <c r="D80" s="17">
        <v>46320</v>
      </c>
      <c r="E80" s="18">
        <v>8200</v>
      </c>
      <c r="F80" s="18">
        <v>74300</v>
      </c>
      <c r="G80" s="18">
        <v>74300</v>
      </c>
      <c r="I80" s="17">
        <v>45993</v>
      </c>
      <c r="J80">
        <v>8608884554</v>
      </c>
    </row>
    <row r="81" spans="1:10" hidden="1" x14ac:dyDescent="0.3">
      <c r="A81">
        <v>79</v>
      </c>
      <c r="B81" t="s">
        <v>431</v>
      </c>
      <c r="C81" s="17">
        <v>45741</v>
      </c>
      <c r="D81" s="17">
        <v>46016</v>
      </c>
      <c r="E81" s="18">
        <v>28800</v>
      </c>
      <c r="F81" s="18">
        <v>234000</v>
      </c>
      <c r="G81" s="18">
        <v>208000</v>
      </c>
      <c r="H81" s="18">
        <v>26000</v>
      </c>
      <c r="I81" s="17">
        <v>45993</v>
      </c>
      <c r="J81">
        <v>9940923754</v>
      </c>
    </row>
    <row r="82" spans="1:10" hidden="1" x14ac:dyDescent="0.3">
      <c r="A82">
        <v>80</v>
      </c>
      <c r="B82" t="s">
        <v>432</v>
      </c>
      <c r="C82" s="17">
        <v>45741</v>
      </c>
      <c r="D82" s="17">
        <v>46320</v>
      </c>
      <c r="E82" s="18">
        <v>8200</v>
      </c>
      <c r="F82" s="18">
        <v>76300</v>
      </c>
      <c r="G82" s="18">
        <v>53850</v>
      </c>
      <c r="H82" s="18">
        <v>22450</v>
      </c>
      <c r="I82" s="17">
        <v>45993</v>
      </c>
      <c r="J82">
        <v>8778007493</v>
      </c>
    </row>
    <row r="83" spans="1:10" hidden="1" x14ac:dyDescent="0.3">
      <c r="A83">
        <v>81</v>
      </c>
      <c r="B83" t="s">
        <v>433</v>
      </c>
      <c r="C83" s="17">
        <v>45741</v>
      </c>
      <c r="D83" s="17">
        <v>46016</v>
      </c>
      <c r="E83" s="18">
        <v>96000</v>
      </c>
      <c r="F83" s="18">
        <v>780000</v>
      </c>
      <c r="G83" s="18">
        <v>683600</v>
      </c>
      <c r="H83" s="18">
        <v>96400</v>
      </c>
      <c r="I83" s="17">
        <v>45992</v>
      </c>
      <c r="J83">
        <v>9566341761</v>
      </c>
    </row>
    <row r="84" spans="1:10" hidden="1" x14ac:dyDescent="0.3">
      <c r="A84">
        <v>82</v>
      </c>
      <c r="B84" t="s">
        <v>434</v>
      </c>
      <c r="C84" s="17">
        <v>45863</v>
      </c>
      <c r="D84" s="17">
        <v>46593</v>
      </c>
      <c r="E84" s="18">
        <v>16000</v>
      </c>
      <c r="F84" s="18">
        <v>84000</v>
      </c>
      <c r="G84" s="18">
        <v>77950</v>
      </c>
      <c r="H84" s="18">
        <v>6050</v>
      </c>
      <c r="I84" s="17">
        <v>45993</v>
      </c>
      <c r="J84">
        <v>9445254111</v>
      </c>
    </row>
    <row r="85" spans="1:10" hidden="1" x14ac:dyDescent="0.3">
      <c r="A85">
        <v>83</v>
      </c>
      <c r="B85" t="s">
        <v>435</v>
      </c>
      <c r="C85" s="17">
        <v>45772</v>
      </c>
      <c r="D85" s="17">
        <v>46351</v>
      </c>
      <c r="E85" s="18">
        <v>40500</v>
      </c>
      <c r="F85" s="18">
        <v>330500</v>
      </c>
      <c r="G85" s="18">
        <v>158100</v>
      </c>
      <c r="H85" s="18">
        <v>172400</v>
      </c>
      <c r="I85" s="17">
        <v>45967</v>
      </c>
      <c r="J85">
        <v>9894921681</v>
      </c>
    </row>
    <row r="86" spans="1:10" hidden="1" x14ac:dyDescent="0.3">
      <c r="A86">
        <v>84</v>
      </c>
      <c r="B86" t="s">
        <v>436</v>
      </c>
      <c r="C86" s="17">
        <v>45772</v>
      </c>
      <c r="D86" s="17">
        <v>46351</v>
      </c>
      <c r="E86" s="18">
        <v>4050</v>
      </c>
      <c r="F86" s="18">
        <v>33050</v>
      </c>
      <c r="G86" s="18">
        <v>33050</v>
      </c>
      <c r="I86" s="17">
        <v>45993</v>
      </c>
      <c r="J86">
        <v>9597777121</v>
      </c>
    </row>
    <row r="87" spans="1:10" hidden="1" x14ac:dyDescent="0.3">
      <c r="A87">
        <v>85</v>
      </c>
      <c r="B87" t="s">
        <v>437</v>
      </c>
      <c r="C87" s="17">
        <v>45772</v>
      </c>
      <c r="D87" s="17">
        <v>46351</v>
      </c>
      <c r="E87" s="18">
        <v>8100</v>
      </c>
      <c r="F87" s="18">
        <v>66100</v>
      </c>
      <c r="G87" s="18">
        <v>41300</v>
      </c>
      <c r="H87" s="18">
        <v>24800</v>
      </c>
      <c r="I87" s="17">
        <v>45993</v>
      </c>
      <c r="J87">
        <v>8489393639</v>
      </c>
    </row>
    <row r="88" spans="1:10" hidden="1" x14ac:dyDescent="0.3">
      <c r="A88">
        <v>86</v>
      </c>
      <c r="B88" t="s">
        <v>438</v>
      </c>
      <c r="C88" s="17">
        <v>45772</v>
      </c>
      <c r="D88" s="17">
        <v>46351</v>
      </c>
      <c r="E88" s="18">
        <v>4050</v>
      </c>
      <c r="F88" s="18">
        <v>33050</v>
      </c>
      <c r="G88" s="18">
        <v>28100</v>
      </c>
      <c r="H88" s="18">
        <v>4950</v>
      </c>
      <c r="I88" s="17">
        <v>45993</v>
      </c>
      <c r="J88">
        <v>8489393639</v>
      </c>
    </row>
    <row r="89" spans="1:10" hidden="1" x14ac:dyDescent="0.3">
      <c r="A89">
        <v>87</v>
      </c>
      <c r="B89" t="s">
        <v>439</v>
      </c>
      <c r="C89" s="17">
        <v>45772</v>
      </c>
      <c r="D89" s="17">
        <v>46047</v>
      </c>
      <c r="E89" s="18">
        <v>9300</v>
      </c>
      <c r="F89" s="18">
        <v>68400</v>
      </c>
      <c r="G89" s="18">
        <v>68400</v>
      </c>
      <c r="I89" s="17">
        <v>45993</v>
      </c>
      <c r="J89">
        <v>9489797045</v>
      </c>
    </row>
    <row r="90" spans="1:10" hidden="1" x14ac:dyDescent="0.3">
      <c r="A90">
        <v>88</v>
      </c>
      <c r="B90" t="s">
        <v>440</v>
      </c>
      <c r="C90" s="17">
        <v>45726</v>
      </c>
      <c r="D90" s="17">
        <v>46456</v>
      </c>
      <c r="E90" s="18">
        <v>3200</v>
      </c>
      <c r="F90" s="18">
        <v>29600</v>
      </c>
      <c r="G90" s="18">
        <v>29600</v>
      </c>
      <c r="I90" s="17">
        <v>45981</v>
      </c>
      <c r="J90">
        <v>8870429843</v>
      </c>
    </row>
    <row r="91" spans="1:10" hidden="1" x14ac:dyDescent="0.3">
      <c r="A91">
        <v>89</v>
      </c>
      <c r="B91" t="s">
        <v>441</v>
      </c>
      <c r="C91" s="17">
        <v>45757</v>
      </c>
      <c r="D91" s="17">
        <v>46336</v>
      </c>
      <c r="E91" s="18">
        <v>8100</v>
      </c>
      <c r="F91" s="18">
        <v>66100</v>
      </c>
      <c r="G91" s="18">
        <v>66100</v>
      </c>
      <c r="I91" s="17">
        <v>45976</v>
      </c>
      <c r="J91">
        <v>9566846920</v>
      </c>
    </row>
    <row r="92" spans="1:10" hidden="1" x14ac:dyDescent="0.3">
      <c r="A92">
        <v>90</v>
      </c>
      <c r="B92" t="s">
        <v>442</v>
      </c>
      <c r="C92" s="17">
        <v>45757</v>
      </c>
      <c r="D92" s="17">
        <v>46336</v>
      </c>
      <c r="E92" s="18">
        <v>20250</v>
      </c>
      <c r="F92" s="18">
        <v>165250</v>
      </c>
      <c r="G92" s="18">
        <v>165250</v>
      </c>
      <c r="I92" s="17">
        <v>45976</v>
      </c>
      <c r="J92">
        <v>9944068933</v>
      </c>
    </row>
    <row r="93" spans="1:10" hidden="1" x14ac:dyDescent="0.3">
      <c r="A93">
        <v>91</v>
      </c>
      <c r="B93" t="s">
        <v>443</v>
      </c>
      <c r="C93" s="17">
        <v>45757</v>
      </c>
      <c r="D93" s="17">
        <v>46336</v>
      </c>
      <c r="E93" s="18">
        <v>12150</v>
      </c>
      <c r="F93" s="18">
        <v>99150</v>
      </c>
      <c r="G93" s="18">
        <v>99150</v>
      </c>
      <c r="I93" s="17">
        <v>45976</v>
      </c>
      <c r="J93">
        <v>9944068933</v>
      </c>
    </row>
    <row r="94" spans="1:10" hidden="1" x14ac:dyDescent="0.3">
      <c r="A94">
        <v>92</v>
      </c>
      <c r="B94" t="s">
        <v>444</v>
      </c>
      <c r="C94" s="17">
        <v>45757</v>
      </c>
      <c r="D94" s="17">
        <v>46032</v>
      </c>
      <c r="E94" s="18">
        <v>9300</v>
      </c>
      <c r="F94" s="18">
        <v>68400</v>
      </c>
      <c r="G94" s="18">
        <v>68400</v>
      </c>
      <c r="I94" s="17">
        <v>45992</v>
      </c>
      <c r="J94">
        <v>7092600133</v>
      </c>
    </row>
    <row r="95" spans="1:10" hidden="1" x14ac:dyDescent="0.3">
      <c r="A95">
        <v>93</v>
      </c>
      <c r="B95" t="s">
        <v>445</v>
      </c>
      <c r="C95" s="17">
        <v>45772</v>
      </c>
      <c r="D95" s="17">
        <v>46502</v>
      </c>
      <c r="E95" s="18">
        <v>16000</v>
      </c>
      <c r="F95" s="18">
        <v>132000</v>
      </c>
      <c r="G95" s="18">
        <v>117300</v>
      </c>
      <c r="H95" s="18">
        <v>14700</v>
      </c>
      <c r="I95" s="17">
        <v>45993</v>
      </c>
      <c r="J95" t="s">
        <v>446</v>
      </c>
    </row>
    <row r="96" spans="1:10" hidden="1" x14ac:dyDescent="0.3">
      <c r="A96">
        <v>94</v>
      </c>
      <c r="B96" t="s">
        <v>447</v>
      </c>
      <c r="C96" s="17">
        <v>45757</v>
      </c>
      <c r="D96" s="17">
        <v>46487</v>
      </c>
      <c r="E96" s="18">
        <v>3200</v>
      </c>
      <c r="F96" s="18">
        <v>26400</v>
      </c>
      <c r="G96" s="18">
        <v>26400</v>
      </c>
      <c r="I96" s="17">
        <v>45987</v>
      </c>
      <c r="J96">
        <v>9944663900</v>
      </c>
    </row>
    <row r="97" spans="1:10" hidden="1" x14ac:dyDescent="0.3">
      <c r="A97">
        <v>95</v>
      </c>
      <c r="B97" t="s">
        <v>448</v>
      </c>
      <c r="C97" s="17">
        <v>45757</v>
      </c>
      <c r="D97" s="17">
        <v>46336</v>
      </c>
      <c r="E97" s="18">
        <v>12150</v>
      </c>
      <c r="F97" s="18">
        <v>99150</v>
      </c>
      <c r="G97" s="18">
        <v>99150</v>
      </c>
      <c r="I97" s="17">
        <v>45974</v>
      </c>
      <c r="J97">
        <v>9655707084</v>
      </c>
    </row>
    <row r="98" spans="1:10" hidden="1" x14ac:dyDescent="0.3">
      <c r="A98">
        <v>96</v>
      </c>
      <c r="B98" t="s">
        <v>449</v>
      </c>
      <c r="C98" s="17">
        <v>45833</v>
      </c>
      <c r="D98" s="17">
        <v>46412</v>
      </c>
      <c r="E98" s="18">
        <v>4000</v>
      </c>
      <c r="F98" s="18">
        <v>25000</v>
      </c>
      <c r="G98" s="18">
        <v>25000</v>
      </c>
      <c r="I98" s="17">
        <v>45988</v>
      </c>
      <c r="J98" t="s">
        <v>450</v>
      </c>
    </row>
    <row r="99" spans="1:10" hidden="1" x14ac:dyDescent="0.3">
      <c r="A99">
        <v>97</v>
      </c>
      <c r="B99" t="s">
        <v>451</v>
      </c>
      <c r="C99" s="17">
        <v>45802</v>
      </c>
      <c r="D99" s="17">
        <v>46078</v>
      </c>
      <c r="E99" s="18">
        <v>17600</v>
      </c>
      <c r="F99" s="18">
        <v>118200</v>
      </c>
      <c r="G99" s="18">
        <v>116500</v>
      </c>
      <c r="H99" s="18">
        <v>1700</v>
      </c>
      <c r="I99" s="17">
        <v>45993</v>
      </c>
      <c r="J99">
        <v>9940923754</v>
      </c>
    </row>
    <row r="100" spans="1:10" hidden="1" x14ac:dyDescent="0.3">
      <c r="A100">
        <v>98</v>
      </c>
      <c r="B100" t="s">
        <v>452</v>
      </c>
      <c r="C100" s="17">
        <v>45802</v>
      </c>
      <c r="D100" s="17">
        <v>46381</v>
      </c>
      <c r="E100" s="18">
        <v>20000</v>
      </c>
      <c r="F100" s="18">
        <v>145000</v>
      </c>
      <c r="G100" s="18">
        <v>105400</v>
      </c>
      <c r="H100" s="18">
        <v>39600</v>
      </c>
      <c r="I100" s="17">
        <v>45992</v>
      </c>
      <c r="J100">
        <v>9940381378</v>
      </c>
    </row>
    <row r="101" spans="1:10" hidden="1" x14ac:dyDescent="0.3">
      <c r="A101">
        <v>99</v>
      </c>
      <c r="B101" t="s">
        <v>453</v>
      </c>
      <c r="C101" s="17">
        <v>45833</v>
      </c>
      <c r="D101" s="17">
        <v>46412</v>
      </c>
      <c r="E101" s="18">
        <v>4000</v>
      </c>
      <c r="F101" s="18">
        <v>25000</v>
      </c>
      <c r="G101" s="18">
        <v>4000</v>
      </c>
      <c r="H101" s="18">
        <v>21000</v>
      </c>
      <c r="I101" s="17">
        <v>45839</v>
      </c>
      <c r="J101" t="s">
        <v>454</v>
      </c>
    </row>
    <row r="102" spans="1:10" hidden="1" x14ac:dyDescent="0.3">
      <c r="A102">
        <v>100</v>
      </c>
      <c r="B102" t="s">
        <v>455</v>
      </c>
      <c r="C102" s="17">
        <v>45787</v>
      </c>
      <c r="D102" s="17">
        <v>46366</v>
      </c>
      <c r="E102" s="18">
        <v>20000</v>
      </c>
      <c r="F102" s="18">
        <v>145000</v>
      </c>
      <c r="G102" s="18">
        <v>145000</v>
      </c>
      <c r="I102" s="17">
        <v>45985</v>
      </c>
      <c r="J102">
        <v>9944771542</v>
      </c>
    </row>
    <row r="103" spans="1:10" hidden="1" x14ac:dyDescent="0.3">
      <c r="A103">
        <v>101</v>
      </c>
      <c r="B103" t="s">
        <v>456</v>
      </c>
      <c r="C103" s="17">
        <v>45863</v>
      </c>
      <c r="D103" s="17">
        <v>46443</v>
      </c>
      <c r="E103" s="18">
        <v>4000</v>
      </c>
      <c r="F103" s="18">
        <v>21000</v>
      </c>
      <c r="G103" s="18">
        <v>21000</v>
      </c>
      <c r="I103" s="17">
        <v>45989</v>
      </c>
      <c r="J103" t="s">
        <v>457</v>
      </c>
    </row>
    <row r="104" spans="1:10" hidden="1" x14ac:dyDescent="0.3">
      <c r="A104">
        <v>102</v>
      </c>
      <c r="B104" t="s">
        <v>458</v>
      </c>
      <c r="C104" s="17">
        <v>45863</v>
      </c>
      <c r="D104" s="17">
        <v>46443</v>
      </c>
      <c r="E104" s="18">
        <v>4000</v>
      </c>
      <c r="F104" s="18">
        <v>21000</v>
      </c>
      <c r="G104" s="18">
        <v>21000</v>
      </c>
      <c r="I104" s="17">
        <v>45993</v>
      </c>
      <c r="J104">
        <v>7200520713</v>
      </c>
    </row>
    <row r="105" spans="1:10" hidden="1" x14ac:dyDescent="0.3">
      <c r="A105">
        <v>103</v>
      </c>
      <c r="B105" t="s">
        <v>459</v>
      </c>
      <c r="C105" s="17">
        <v>45818</v>
      </c>
      <c r="D105" s="17">
        <v>46397</v>
      </c>
      <c r="E105" s="18">
        <v>4000</v>
      </c>
      <c r="F105" s="18">
        <v>25000</v>
      </c>
      <c r="G105" s="18">
        <v>25000</v>
      </c>
      <c r="I105" s="17">
        <v>45971</v>
      </c>
      <c r="J105">
        <v>9003558446</v>
      </c>
    </row>
    <row r="106" spans="1:10" hidden="1" x14ac:dyDescent="0.3">
      <c r="A106">
        <v>104</v>
      </c>
      <c r="B106" t="s">
        <v>460</v>
      </c>
      <c r="C106" s="17">
        <v>45863</v>
      </c>
      <c r="D106" s="17">
        <v>46443</v>
      </c>
      <c r="E106" s="18">
        <v>4000</v>
      </c>
      <c r="F106" s="18">
        <v>21000</v>
      </c>
      <c r="G106" s="18">
        <v>21000</v>
      </c>
      <c r="I106" s="17">
        <v>45978</v>
      </c>
      <c r="J106">
        <v>8668117268</v>
      </c>
    </row>
    <row r="107" spans="1:10" hidden="1" x14ac:dyDescent="0.3">
      <c r="A107">
        <v>105</v>
      </c>
      <c r="B107" t="s">
        <v>461</v>
      </c>
      <c r="C107" s="17">
        <v>45818</v>
      </c>
      <c r="D107" s="17">
        <v>46548</v>
      </c>
      <c r="E107" s="18">
        <v>9600</v>
      </c>
      <c r="F107" s="18">
        <v>60000</v>
      </c>
      <c r="G107" s="18">
        <v>60000</v>
      </c>
      <c r="I107" s="17">
        <v>45967</v>
      </c>
      <c r="J107">
        <v>9789501710</v>
      </c>
    </row>
    <row r="108" spans="1:10" hidden="1" x14ac:dyDescent="0.3">
      <c r="A108">
        <v>106</v>
      </c>
      <c r="B108" t="s">
        <v>462</v>
      </c>
      <c r="C108" s="17">
        <v>45863</v>
      </c>
      <c r="D108" s="17">
        <v>46443</v>
      </c>
      <c r="E108" s="18">
        <v>4000</v>
      </c>
      <c r="F108" s="18">
        <v>21000</v>
      </c>
      <c r="G108" s="18">
        <v>21000</v>
      </c>
      <c r="I108" s="17">
        <v>45993</v>
      </c>
      <c r="J108">
        <v>9788234208</v>
      </c>
    </row>
    <row r="109" spans="1:10" hidden="1" x14ac:dyDescent="0.3">
      <c r="A109">
        <v>107</v>
      </c>
      <c r="B109" t="s">
        <v>463</v>
      </c>
      <c r="C109" s="17">
        <v>45848</v>
      </c>
      <c r="D109" s="17">
        <v>46578</v>
      </c>
      <c r="E109" s="18">
        <v>3200</v>
      </c>
      <c r="F109" s="18">
        <v>16800</v>
      </c>
      <c r="G109" s="18">
        <v>16800</v>
      </c>
      <c r="I109" s="17">
        <v>45989</v>
      </c>
      <c r="J109">
        <v>8825827852</v>
      </c>
    </row>
    <row r="110" spans="1:10" hidden="1" x14ac:dyDescent="0.3">
      <c r="A110">
        <v>108</v>
      </c>
      <c r="B110" t="s">
        <v>464</v>
      </c>
      <c r="C110" s="17">
        <v>45848</v>
      </c>
      <c r="D110" s="17">
        <v>46578</v>
      </c>
      <c r="E110" s="18">
        <v>3200</v>
      </c>
      <c r="F110" s="18">
        <v>16800</v>
      </c>
      <c r="G110" s="18">
        <v>16800</v>
      </c>
      <c r="I110" s="17">
        <v>45986</v>
      </c>
      <c r="J110">
        <v>8825827852</v>
      </c>
    </row>
    <row r="111" spans="1:10" hidden="1" x14ac:dyDescent="0.3">
      <c r="A111">
        <v>109</v>
      </c>
      <c r="B111" t="s">
        <v>465</v>
      </c>
      <c r="C111" s="17">
        <v>45879</v>
      </c>
      <c r="D111" s="17">
        <v>46609</v>
      </c>
      <c r="E111" s="18">
        <v>9600</v>
      </c>
      <c r="F111" s="18">
        <v>40800</v>
      </c>
      <c r="G111" s="18">
        <v>40800</v>
      </c>
      <c r="I111" s="17">
        <v>45985</v>
      </c>
      <c r="J111" t="s">
        <v>466</v>
      </c>
    </row>
    <row r="112" spans="1:10" hidden="1" x14ac:dyDescent="0.3">
      <c r="A112">
        <v>110</v>
      </c>
      <c r="B112" t="s">
        <v>467</v>
      </c>
      <c r="C112" s="17">
        <v>45818</v>
      </c>
      <c r="D112" s="17">
        <v>46397</v>
      </c>
      <c r="E112" s="18">
        <v>4000</v>
      </c>
      <c r="F112" s="18">
        <v>25000</v>
      </c>
      <c r="G112" s="18">
        <v>9000</v>
      </c>
      <c r="H112" s="18">
        <v>16000</v>
      </c>
      <c r="I112" s="17">
        <v>45860</v>
      </c>
      <c r="J112">
        <v>7373580737</v>
      </c>
    </row>
    <row r="113" spans="1:10" hidden="1" x14ac:dyDescent="0.3">
      <c r="A113">
        <v>111</v>
      </c>
      <c r="B113" t="s">
        <v>468</v>
      </c>
      <c r="C113" s="17">
        <v>45894</v>
      </c>
      <c r="D113" s="17">
        <v>46471</v>
      </c>
      <c r="E113" s="18">
        <v>20000</v>
      </c>
      <c r="F113" s="18">
        <v>85000</v>
      </c>
      <c r="G113" s="18">
        <v>85000</v>
      </c>
      <c r="I113" s="17">
        <v>45993</v>
      </c>
      <c r="J113" t="s">
        <v>469</v>
      </c>
    </row>
    <row r="114" spans="1:10" hidden="1" x14ac:dyDescent="0.3">
      <c r="A114">
        <v>112</v>
      </c>
      <c r="B114" t="s">
        <v>470</v>
      </c>
      <c r="C114" s="17">
        <v>45848</v>
      </c>
      <c r="D114" s="17">
        <v>46578</v>
      </c>
      <c r="E114" s="18">
        <v>3200</v>
      </c>
      <c r="F114" s="18">
        <v>16800</v>
      </c>
      <c r="G114" s="18">
        <v>16800</v>
      </c>
      <c r="I114" s="17">
        <v>45976</v>
      </c>
      <c r="J114" t="s">
        <v>471</v>
      </c>
    </row>
    <row r="115" spans="1:10" hidden="1" x14ac:dyDescent="0.3">
      <c r="A115">
        <v>113</v>
      </c>
      <c r="B115" t="s">
        <v>472</v>
      </c>
      <c r="C115" s="17">
        <v>45879</v>
      </c>
      <c r="D115" s="17">
        <v>46609</v>
      </c>
      <c r="E115" s="18">
        <v>32000</v>
      </c>
      <c r="F115" s="18">
        <v>136000</v>
      </c>
      <c r="G115" s="18">
        <v>136000</v>
      </c>
      <c r="I115" s="17">
        <v>45990</v>
      </c>
      <c r="J115">
        <v>8344483007</v>
      </c>
    </row>
    <row r="116" spans="1:10" hidden="1" x14ac:dyDescent="0.3">
      <c r="A116">
        <v>114</v>
      </c>
      <c r="B116" t="s">
        <v>473</v>
      </c>
      <c r="C116" s="17">
        <v>45848</v>
      </c>
      <c r="D116" s="17">
        <v>46428</v>
      </c>
      <c r="E116" s="18">
        <v>20000</v>
      </c>
      <c r="F116" s="18">
        <v>105000</v>
      </c>
      <c r="G116" s="18">
        <v>105000</v>
      </c>
      <c r="I116" s="17">
        <v>45992</v>
      </c>
      <c r="J116">
        <v>9894592949</v>
      </c>
    </row>
    <row r="117" spans="1:10" hidden="1" x14ac:dyDescent="0.3">
      <c r="A117">
        <v>115</v>
      </c>
      <c r="B117" t="s">
        <v>474</v>
      </c>
      <c r="C117" s="17">
        <v>45879</v>
      </c>
      <c r="D117" s="17">
        <v>46609</v>
      </c>
      <c r="E117" s="18">
        <v>3200</v>
      </c>
      <c r="F117" s="18">
        <v>13600</v>
      </c>
      <c r="G117" s="18">
        <v>13600</v>
      </c>
      <c r="I117" s="17">
        <v>45983</v>
      </c>
      <c r="J117">
        <v>8825827852</v>
      </c>
    </row>
    <row r="118" spans="1:10" hidden="1" x14ac:dyDescent="0.3">
      <c r="A118">
        <v>116</v>
      </c>
      <c r="B118" t="s">
        <v>475</v>
      </c>
      <c r="C118" s="17">
        <v>45879</v>
      </c>
      <c r="D118" s="17">
        <v>46152</v>
      </c>
      <c r="E118" s="18">
        <v>8000</v>
      </c>
      <c r="F118" s="18">
        <v>34000</v>
      </c>
      <c r="G118" s="18">
        <v>34000</v>
      </c>
      <c r="I118" s="17">
        <v>45987</v>
      </c>
      <c r="J118">
        <v>9486932798</v>
      </c>
    </row>
    <row r="119" spans="1:10" hidden="1" x14ac:dyDescent="0.3">
      <c r="A119">
        <v>117</v>
      </c>
      <c r="B119" t="s">
        <v>476</v>
      </c>
      <c r="C119" s="17">
        <v>45879</v>
      </c>
      <c r="D119" s="17">
        <v>46456</v>
      </c>
      <c r="E119" s="18">
        <v>8000</v>
      </c>
      <c r="F119" s="18">
        <v>34000</v>
      </c>
      <c r="G119" s="18">
        <v>34000</v>
      </c>
      <c r="I119" s="17">
        <v>45967</v>
      </c>
      <c r="J119">
        <v>9865837738</v>
      </c>
    </row>
    <row r="120" spans="1:10" hidden="1" x14ac:dyDescent="0.3">
      <c r="A120">
        <v>118</v>
      </c>
      <c r="B120" t="s">
        <v>477</v>
      </c>
      <c r="C120" s="17">
        <v>45925</v>
      </c>
      <c r="D120" s="17">
        <v>46655</v>
      </c>
      <c r="E120" s="18">
        <v>16000</v>
      </c>
      <c r="F120" s="18">
        <v>52000</v>
      </c>
      <c r="G120" s="18">
        <v>52000</v>
      </c>
      <c r="I120" s="17">
        <v>45993</v>
      </c>
      <c r="J120">
        <v>9894989751</v>
      </c>
    </row>
    <row r="121" spans="1:10" hidden="1" x14ac:dyDescent="0.3">
      <c r="A121">
        <v>119</v>
      </c>
      <c r="B121" t="s">
        <v>478</v>
      </c>
      <c r="C121" s="17">
        <v>45925</v>
      </c>
      <c r="D121" s="17">
        <v>46198</v>
      </c>
      <c r="E121" s="18">
        <v>40000</v>
      </c>
      <c r="F121" s="18">
        <v>130000</v>
      </c>
      <c r="G121" s="18">
        <v>115500</v>
      </c>
      <c r="H121" s="18">
        <v>14500</v>
      </c>
      <c r="I121" s="17">
        <v>45992</v>
      </c>
      <c r="J121">
        <v>8012320392</v>
      </c>
    </row>
    <row r="122" spans="1:10" hidden="1" x14ac:dyDescent="0.3">
      <c r="A122">
        <v>120</v>
      </c>
      <c r="B122" t="s">
        <v>479</v>
      </c>
      <c r="C122" s="17">
        <v>45879</v>
      </c>
      <c r="D122" s="17">
        <v>46152</v>
      </c>
      <c r="E122" s="18">
        <v>80000</v>
      </c>
      <c r="F122" s="18">
        <v>340000</v>
      </c>
      <c r="G122" s="18">
        <v>340000</v>
      </c>
      <c r="I122" s="17">
        <v>45975</v>
      </c>
      <c r="J122">
        <v>9003316875</v>
      </c>
    </row>
    <row r="123" spans="1:10" hidden="1" x14ac:dyDescent="0.3">
      <c r="A123">
        <v>121</v>
      </c>
      <c r="B123" t="s">
        <v>480</v>
      </c>
      <c r="C123" s="17">
        <v>45879</v>
      </c>
      <c r="D123" s="17">
        <v>46152</v>
      </c>
      <c r="E123" s="18">
        <v>80000</v>
      </c>
      <c r="F123" s="18">
        <v>340000</v>
      </c>
      <c r="G123" s="18">
        <v>340000</v>
      </c>
      <c r="I123" s="17">
        <v>45975</v>
      </c>
      <c r="J123">
        <v>9003316875</v>
      </c>
    </row>
    <row r="124" spans="1:10" hidden="1" x14ac:dyDescent="0.3">
      <c r="A124">
        <v>122</v>
      </c>
      <c r="B124" t="s">
        <v>481</v>
      </c>
      <c r="C124" s="17">
        <v>45879</v>
      </c>
      <c r="D124" s="17">
        <v>46456</v>
      </c>
      <c r="E124" s="18">
        <v>20000</v>
      </c>
      <c r="F124" s="18">
        <v>85000</v>
      </c>
      <c r="G124" s="18">
        <v>45000</v>
      </c>
      <c r="H124" s="18">
        <v>40000</v>
      </c>
      <c r="I124" s="17">
        <v>45967</v>
      </c>
      <c r="J124">
        <v>9944372162</v>
      </c>
    </row>
    <row r="125" spans="1:10" hidden="1" x14ac:dyDescent="0.3">
      <c r="A125">
        <v>123</v>
      </c>
      <c r="B125" t="s">
        <v>482</v>
      </c>
      <c r="C125" s="17">
        <v>45925</v>
      </c>
      <c r="D125" s="17">
        <v>46502</v>
      </c>
      <c r="E125" s="18">
        <v>12000</v>
      </c>
      <c r="F125" s="18">
        <v>39000</v>
      </c>
      <c r="G125" s="18">
        <v>38500</v>
      </c>
      <c r="H125">
        <v>500</v>
      </c>
      <c r="I125" s="17">
        <v>45993</v>
      </c>
      <c r="J125">
        <v>7708221188</v>
      </c>
    </row>
    <row r="126" spans="1:10" hidden="1" x14ac:dyDescent="0.3">
      <c r="A126">
        <v>124</v>
      </c>
      <c r="B126" t="s">
        <v>483</v>
      </c>
      <c r="C126" s="17">
        <v>45925</v>
      </c>
      <c r="D126" s="17">
        <v>46502</v>
      </c>
      <c r="E126" s="18">
        <v>12000</v>
      </c>
      <c r="F126" s="18">
        <v>39000</v>
      </c>
      <c r="G126" s="18">
        <v>13000</v>
      </c>
      <c r="H126" s="18">
        <v>26000</v>
      </c>
      <c r="I126" s="17">
        <v>45933</v>
      </c>
      <c r="J126">
        <v>9865572641</v>
      </c>
    </row>
    <row r="127" spans="1:10" hidden="1" x14ac:dyDescent="0.3">
      <c r="A127">
        <v>125</v>
      </c>
      <c r="B127" t="s">
        <v>484</v>
      </c>
      <c r="C127" s="17">
        <v>45925</v>
      </c>
      <c r="D127" s="17">
        <v>46502</v>
      </c>
      <c r="E127" s="18">
        <v>40000</v>
      </c>
      <c r="F127" s="18">
        <v>130000</v>
      </c>
      <c r="G127" s="18">
        <v>130000</v>
      </c>
      <c r="I127" s="17">
        <v>45993</v>
      </c>
      <c r="J127" t="s">
        <v>485</v>
      </c>
    </row>
    <row r="128" spans="1:10" hidden="1" x14ac:dyDescent="0.3">
      <c r="A128">
        <v>126</v>
      </c>
      <c r="B128" t="s">
        <v>486</v>
      </c>
      <c r="C128" s="17">
        <v>45925</v>
      </c>
      <c r="D128" s="17">
        <v>46502</v>
      </c>
      <c r="E128" s="18">
        <v>40000</v>
      </c>
      <c r="F128" s="18">
        <v>130000</v>
      </c>
      <c r="G128" s="18">
        <v>130000</v>
      </c>
      <c r="I128" s="17">
        <v>45993</v>
      </c>
      <c r="J128">
        <v>9655877222</v>
      </c>
    </row>
    <row r="129" spans="1:10" hidden="1" x14ac:dyDescent="0.3">
      <c r="A129">
        <v>127</v>
      </c>
      <c r="B129" t="s">
        <v>487</v>
      </c>
      <c r="C129" s="17">
        <v>45879</v>
      </c>
      <c r="D129" s="17">
        <v>46456</v>
      </c>
      <c r="E129" s="18">
        <v>80000</v>
      </c>
      <c r="F129" s="18">
        <v>340000</v>
      </c>
      <c r="G129" s="18">
        <v>340000</v>
      </c>
      <c r="I129" s="17">
        <v>45990</v>
      </c>
      <c r="J129">
        <v>9597343459</v>
      </c>
    </row>
    <row r="130" spans="1:10" hidden="1" x14ac:dyDescent="0.3">
      <c r="A130">
        <v>128</v>
      </c>
      <c r="B130" t="s">
        <v>488</v>
      </c>
      <c r="C130" s="17">
        <v>45925</v>
      </c>
      <c r="D130" s="17">
        <v>46502</v>
      </c>
      <c r="E130" s="18">
        <v>20000</v>
      </c>
      <c r="F130" s="18">
        <v>65000</v>
      </c>
      <c r="G130" s="18">
        <v>58000</v>
      </c>
      <c r="H130" s="18">
        <v>7000</v>
      </c>
      <c r="I130" s="17">
        <v>45982</v>
      </c>
      <c r="J130">
        <v>8072321982</v>
      </c>
    </row>
    <row r="131" spans="1:10" hidden="1" x14ac:dyDescent="0.3">
      <c r="A131">
        <v>129</v>
      </c>
      <c r="B131" t="s">
        <v>489</v>
      </c>
      <c r="C131" s="17">
        <v>45910</v>
      </c>
      <c r="D131" s="17">
        <v>46183</v>
      </c>
      <c r="E131" s="18">
        <v>8000</v>
      </c>
      <c r="F131" s="18">
        <v>26000</v>
      </c>
      <c r="G131" s="18">
        <v>26000</v>
      </c>
      <c r="I131" s="17">
        <v>45969</v>
      </c>
      <c r="J131">
        <v>9994059498</v>
      </c>
    </row>
    <row r="132" spans="1:10" hidden="1" x14ac:dyDescent="0.3">
      <c r="A132">
        <v>130</v>
      </c>
      <c r="B132" t="s">
        <v>490</v>
      </c>
      <c r="C132" s="17">
        <v>45910</v>
      </c>
      <c r="D132" s="17">
        <v>46487</v>
      </c>
      <c r="E132" s="18">
        <v>40000</v>
      </c>
      <c r="F132" s="18">
        <v>130000</v>
      </c>
      <c r="G132" s="18">
        <v>130000</v>
      </c>
      <c r="I132" s="17">
        <v>45967</v>
      </c>
      <c r="J132">
        <v>8870655565</v>
      </c>
    </row>
    <row r="133" spans="1:10" hidden="1" x14ac:dyDescent="0.3">
      <c r="A133">
        <v>131</v>
      </c>
      <c r="B133" t="s">
        <v>491</v>
      </c>
      <c r="C133" s="17">
        <v>45910</v>
      </c>
      <c r="D133" s="17">
        <v>46487</v>
      </c>
      <c r="E133" s="18">
        <v>40000</v>
      </c>
      <c r="F133" s="18">
        <v>130000</v>
      </c>
      <c r="G133" s="18">
        <v>130000</v>
      </c>
      <c r="I133" s="17">
        <v>45967</v>
      </c>
      <c r="J133">
        <v>8870655565</v>
      </c>
    </row>
    <row r="134" spans="1:10" hidden="1" x14ac:dyDescent="0.3">
      <c r="A134">
        <v>132</v>
      </c>
      <c r="B134" t="s">
        <v>492</v>
      </c>
      <c r="C134" s="17">
        <v>45910</v>
      </c>
      <c r="D134" s="17">
        <v>46183</v>
      </c>
      <c r="E134" s="18">
        <v>8000</v>
      </c>
      <c r="F134" s="18">
        <v>26000</v>
      </c>
      <c r="G134" s="18">
        <v>26000</v>
      </c>
      <c r="I134" s="17">
        <v>45972</v>
      </c>
      <c r="J134">
        <v>9360120847</v>
      </c>
    </row>
    <row r="135" spans="1:10" hidden="1" x14ac:dyDescent="0.3">
      <c r="A135">
        <v>133</v>
      </c>
      <c r="B135" t="s">
        <v>493</v>
      </c>
      <c r="C135" s="17">
        <v>45910</v>
      </c>
      <c r="D135" s="17">
        <v>46487</v>
      </c>
      <c r="E135" s="18">
        <v>4000</v>
      </c>
      <c r="F135" s="18">
        <v>13000</v>
      </c>
      <c r="G135" s="18">
        <v>13000</v>
      </c>
      <c r="I135" s="17">
        <v>45967</v>
      </c>
      <c r="J135">
        <v>9787745030</v>
      </c>
    </row>
    <row r="136" spans="1:10" hidden="1" x14ac:dyDescent="0.3">
      <c r="A136">
        <v>134</v>
      </c>
      <c r="B136" t="s">
        <v>494</v>
      </c>
      <c r="C136" s="17">
        <v>45925</v>
      </c>
      <c r="D136" s="17">
        <v>46502</v>
      </c>
      <c r="E136" s="18">
        <v>20000</v>
      </c>
      <c r="F136" s="18">
        <v>65000</v>
      </c>
      <c r="G136" s="18">
        <v>47600</v>
      </c>
      <c r="H136" s="18">
        <v>17400</v>
      </c>
      <c r="I136" s="17">
        <v>45993</v>
      </c>
      <c r="J136">
        <v>8248919923</v>
      </c>
    </row>
    <row r="137" spans="1:10" hidden="1" x14ac:dyDescent="0.3">
      <c r="A137">
        <v>135</v>
      </c>
      <c r="B137" t="s">
        <v>495</v>
      </c>
      <c r="C137" s="17">
        <v>45925</v>
      </c>
      <c r="D137" s="17">
        <v>46502</v>
      </c>
      <c r="E137" s="18">
        <v>4000</v>
      </c>
      <c r="F137" s="18">
        <v>13000</v>
      </c>
      <c r="G137" s="18">
        <v>8850</v>
      </c>
      <c r="H137" s="18">
        <v>4150</v>
      </c>
      <c r="I137" s="17">
        <v>45993</v>
      </c>
      <c r="J137">
        <v>9787105543</v>
      </c>
    </row>
    <row r="138" spans="1:10" hidden="1" x14ac:dyDescent="0.3">
      <c r="A138">
        <v>136</v>
      </c>
      <c r="B138" t="s">
        <v>496</v>
      </c>
      <c r="C138" s="17">
        <v>45925</v>
      </c>
      <c r="D138" s="17">
        <v>46198</v>
      </c>
      <c r="E138" s="18">
        <v>8000</v>
      </c>
      <c r="F138" s="18">
        <v>26000</v>
      </c>
      <c r="G138" s="18">
        <v>24000</v>
      </c>
      <c r="H138" s="18">
        <v>2000</v>
      </c>
      <c r="I138" s="17">
        <v>45993</v>
      </c>
      <c r="J138">
        <v>9715187333</v>
      </c>
    </row>
    <row r="139" spans="1:10" hidden="1" x14ac:dyDescent="0.3">
      <c r="A139">
        <v>137</v>
      </c>
      <c r="B139" t="s">
        <v>497</v>
      </c>
      <c r="C139" s="17">
        <v>45955</v>
      </c>
      <c r="D139" s="17">
        <v>46532</v>
      </c>
      <c r="E139" s="18">
        <v>4000</v>
      </c>
      <c r="F139" s="18">
        <v>9000</v>
      </c>
      <c r="G139" s="18">
        <v>9000</v>
      </c>
      <c r="I139" s="17">
        <v>45993</v>
      </c>
      <c r="J139">
        <v>9700575144</v>
      </c>
    </row>
    <row r="140" spans="1:10" hidden="1" x14ac:dyDescent="0.3">
      <c r="A140">
        <v>138</v>
      </c>
      <c r="B140" t="s">
        <v>498</v>
      </c>
      <c r="C140" s="17">
        <v>45940</v>
      </c>
      <c r="D140" s="17">
        <v>46517</v>
      </c>
      <c r="E140" s="18">
        <v>8000</v>
      </c>
      <c r="F140" s="18">
        <v>18000</v>
      </c>
      <c r="G140" s="18">
        <v>18000</v>
      </c>
      <c r="I140" s="17">
        <v>45966</v>
      </c>
      <c r="J140">
        <v>9688992737</v>
      </c>
    </row>
    <row r="141" spans="1:10" hidden="1" x14ac:dyDescent="0.3">
      <c r="A141">
        <v>139</v>
      </c>
      <c r="B141" t="s">
        <v>499</v>
      </c>
      <c r="C141" s="17">
        <v>45955</v>
      </c>
      <c r="D141" s="17">
        <v>46532</v>
      </c>
      <c r="E141" s="18">
        <v>4000</v>
      </c>
      <c r="F141" s="18">
        <v>9000</v>
      </c>
      <c r="G141" s="18">
        <v>6400</v>
      </c>
      <c r="H141" s="18">
        <v>2600</v>
      </c>
      <c r="I141" s="17">
        <v>45993</v>
      </c>
      <c r="J141">
        <v>9597234684</v>
      </c>
    </row>
    <row r="142" spans="1:10" hidden="1" x14ac:dyDescent="0.3">
      <c r="A142">
        <v>140</v>
      </c>
      <c r="B142" t="s">
        <v>500</v>
      </c>
      <c r="C142" s="17">
        <v>45940</v>
      </c>
      <c r="D142" s="17">
        <v>46517</v>
      </c>
      <c r="E142" s="18">
        <v>16000</v>
      </c>
      <c r="F142" s="18">
        <v>36000</v>
      </c>
      <c r="G142" s="18">
        <v>36000</v>
      </c>
      <c r="I142" s="17">
        <v>45975</v>
      </c>
      <c r="J142" s="19">
        <v>9.8427831107667493E+19</v>
      </c>
    </row>
    <row r="143" spans="1:10" hidden="1" x14ac:dyDescent="0.3">
      <c r="A143">
        <v>141</v>
      </c>
      <c r="B143" t="s">
        <v>501</v>
      </c>
      <c r="C143" s="17">
        <v>45971</v>
      </c>
      <c r="D143" s="17">
        <v>46548</v>
      </c>
      <c r="E143" s="18">
        <v>50000</v>
      </c>
      <c r="F143" s="18">
        <v>50000</v>
      </c>
      <c r="G143" s="18">
        <v>50000</v>
      </c>
      <c r="I143" s="17">
        <v>45966</v>
      </c>
      <c r="J143">
        <v>9994059498</v>
      </c>
    </row>
    <row r="144" spans="1:10" hidden="1" x14ac:dyDescent="0.3">
      <c r="A144">
        <v>142</v>
      </c>
      <c r="B144" t="s">
        <v>502</v>
      </c>
      <c r="C144" s="17">
        <v>45560</v>
      </c>
      <c r="D144" s="17">
        <v>46137</v>
      </c>
      <c r="E144" s="18">
        <v>13650</v>
      </c>
      <c r="F144" s="18">
        <v>189750</v>
      </c>
      <c r="H144" s="18">
        <v>189750</v>
      </c>
      <c r="I144" s="17">
        <v>45993</v>
      </c>
      <c r="J144">
        <v>9842786338</v>
      </c>
    </row>
    <row r="145" spans="1:10" hidden="1" x14ac:dyDescent="0.3">
      <c r="A145">
        <v>143</v>
      </c>
      <c r="B145" t="s">
        <v>503</v>
      </c>
      <c r="C145" s="17">
        <v>45971</v>
      </c>
      <c r="D145" s="17">
        <v>46548</v>
      </c>
      <c r="E145" s="18">
        <v>10000</v>
      </c>
      <c r="F145" s="18">
        <v>10000</v>
      </c>
      <c r="G145" s="18">
        <v>10000</v>
      </c>
      <c r="I145" s="17">
        <v>45976</v>
      </c>
      <c r="J145">
        <v>9944442237</v>
      </c>
    </row>
    <row r="146" spans="1:10" hidden="1" x14ac:dyDescent="0.3">
      <c r="A146">
        <v>144</v>
      </c>
      <c r="B146" t="s">
        <v>504</v>
      </c>
      <c r="C146" s="17">
        <v>45986</v>
      </c>
      <c r="D146" s="17">
        <v>46563</v>
      </c>
      <c r="E146" s="18">
        <v>125000</v>
      </c>
      <c r="F146" s="18">
        <v>125000</v>
      </c>
      <c r="G146" s="18">
        <v>36000</v>
      </c>
      <c r="H146" s="18">
        <v>89000</v>
      </c>
      <c r="I146" s="17">
        <v>45993</v>
      </c>
    </row>
    <row r="147" spans="1:10" hidden="1" x14ac:dyDescent="0.3">
      <c r="A147">
        <v>145</v>
      </c>
      <c r="B147" t="s">
        <v>505</v>
      </c>
      <c r="C147" s="17">
        <v>45971</v>
      </c>
      <c r="D147" s="17">
        <v>46548</v>
      </c>
      <c r="E147" s="18">
        <v>5000</v>
      </c>
      <c r="F147" s="18">
        <v>5000</v>
      </c>
      <c r="G147" s="18">
        <v>5000</v>
      </c>
      <c r="I147" s="17">
        <v>45984</v>
      </c>
      <c r="J147" t="s">
        <v>506</v>
      </c>
    </row>
    <row r="149" spans="1:10" x14ac:dyDescent="0.3">
      <c r="E149" s="18"/>
      <c r="F149" s="18"/>
      <c r="G149" s="18"/>
      <c r="H149" s="18"/>
    </row>
  </sheetData>
  <autoFilter ref="A1:J147" xr:uid="{40B0D46A-9342-4B3F-A3A3-0FFC31858558}">
    <filterColumn colId="1">
      <filters>
        <filter val="Balaji (BK2B/001/24)"/>
        <filter val="Jothi (BK2D/001/24)"/>
      </filters>
    </filterColumn>
  </autoFilter>
  <mergeCells count="1">
    <mergeCell ref="C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1881-75F8-4074-8A8B-767AF6D7CFC5}">
  <dimension ref="A1:L62"/>
  <sheetViews>
    <sheetView topLeftCell="A26" zoomScale="26" zoomScaleNormal="100" workbookViewId="0">
      <selection activeCell="M60" sqref="B28:M60"/>
    </sheetView>
  </sheetViews>
  <sheetFormatPr defaultColWidth="9.109375" defaultRowHeight="13.8" x14ac:dyDescent="0.25"/>
  <cols>
    <col min="1" max="1" width="11.44140625" style="4" customWidth="1"/>
    <col min="2" max="2" width="36.5546875" style="9" customWidth="1"/>
    <col min="3" max="5" width="20.6640625" style="4" customWidth="1"/>
    <col min="6" max="7" width="20.6640625" style="10" customWidth="1"/>
    <col min="8" max="9" width="19.109375" style="10" customWidth="1"/>
    <col min="10" max="10" width="20.6640625" style="4" customWidth="1"/>
    <col min="11" max="11" width="20.33203125" style="4" customWidth="1"/>
    <col min="12" max="12" width="20.6640625" style="4" customWidth="1"/>
    <col min="13" max="13" width="20.6640625" style="2" customWidth="1"/>
    <col min="14" max="16384" width="9.109375" style="2"/>
  </cols>
  <sheetData>
    <row r="1" spans="1:12" ht="39.9" customHeight="1" x14ac:dyDescent="0.35">
      <c r="A1" s="80" t="s">
        <v>337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2"/>
    </row>
    <row r="2" spans="1:12" ht="39.9" customHeight="1" x14ac:dyDescent="0.35">
      <c r="A2" s="58">
        <v>45962</v>
      </c>
      <c r="B2" s="78" t="s">
        <v>343</v>
      </c>
      <c r="C2" s="78"/>
      <c r="D2" s="78"/>
      <c r="E2" s="78"/>
      <c r="F2" s="78"/>
      <c r="G2" s="78"/>
      <c r="H2" s="78"/>
      <c r="I2" s="78"/>
      <c r="J2" s="78"/>
      <c r="K2" s="78"/>
      <c r="L2" s="60" t="s">
        <v>512</v>
      </c>
    </row>
    <row r="3" spans="1:12" ht="39.9" customHeight="1" x14ac:dyDescent="0.35">
      <c r="A3" s="59" t="s">
        <v>111</v>
      </c>
      <c r="B3" s="29" t="s">
        <v>1</v>
      </c>
      <c r="C3" s="29" t="s">
        <v>2</v>
      </c>
      <c r="D3" s="29" t="s">
        <v>3</v>
      </c>
      <c r="E3" s="29" t="s">
        <v>4</v>
      </c>
      <c r="F3" s="29" t="s">
        <v>112</v>
      </c>
      <c r="G3" s="29" t="s">
        <v>6</v>
      </c>
      <c r="H3" s="29" t="s">
        <v>7</v>
      </c>
      <c r="I3" s="24" t="s">
        <v>8</v>
      </c>
      <c r="J3" s="29" t="s">
        <v>9</v>
      </c>
      <c r="K3" s="29" t="s">
        <v>10</v>
      </c>
      <c r="L3" s="61" t="s">
        <v>11</v>
      </c>
    </row>
    <row r="4" spans="1:12" ht="39.9" customHeight="1" x14ac:dyDescent="0.4">
      <c r="A4" s="44">
        <v>1</v>
      </c>
      <c r="B4" s="31" t="s">
        <v>177</v>
      </c>
      <c r="C4" s="30" t="s">
        <v>178</v>
      </c>
      <c r="D4" s="32">
        <v>45392</v>
      </c>
      <c r="E4" s="32">
        <v>45971</v>
      </c>
      <c r="F4" s="33">
        <v>25000</v>
      </c>
      <c r="G4" s="33">
        <v>437500</v>
      </c>
      <c r="H4" s="33">
        <v>140750</v>
      </c>
      <c r="I4" s="33">
        <f>G4-H4</f>
        <v>296750</v>
      </c>
      <c r="J4" s="34">
        <v>45833</v>
      </c>
      <c r="K4" s="30">
        <v>9003701260</v>
      </c>
      <c r="L4" s="39" t="s">
        <v>175</v>
      </c>
    </row>
    <row r="5" spans="1:12" ht="39.9" customHeight="1" x14ac:dyDescent="0.4">
      <c r="A5" s="44">
        <v>2</v>
      </c>
      <c r="B5" s="31" t="s">
        <v>179</v>
      </c>
      <c r="C5" s="30" t="s">
        <v>180</v>
      </c>
      <c r="D5" s="32">
        <v>45453</v>
      </c>
      <c r="E5" s="32">
        <v>46032</v>
      </c>
      <c r="F5" s="36">
        <v>4850</v>
      </c>
      <c r="G5" s="36">
        <v>77550</v>
      </c>
      <c r="H5" s="36">
        <v>77550</v>
      </c>
      <c r="I5" s="35"/>
      <c r="J5" s="21">
        <v>45981</v>
      </c>
      <c r="K5" s="30">
        <v>9384795608</v>
      </c>
      <c r="L5" s="39" t="s">
        <v>175</v>
      </c>
    </row>
    <row r="6" spans="1:12" ht="39.9" customHeight="1" x14ac:dyDescent="0.4">
      <c r="A6" s="44">
        <v>3</v>
      </c>
      <c r="B6" s="31" t="s">
        <v>182</v>
      </c>
      <c r="C6" s="30" t="s">
        <v>183</v>
      </c>
      <c r="D6" s="32">
        <v>45392</v>
      </c>
      <c r="E6" s="32">
        <v>45971</v>
      </c>
      <c r="F6" s="36">
        <v>18750</v>
      </c>
      <c r="G6" s="36">
        <v>340000</v>
      </c>
      <c r="H6" s="36">
        <v>196850</v>
      </c>
      <c r="I6" s="36">
        <v>143150</v>
      </c>
      <c r="J6" s="21">
        <v>45988</v>
      </c>
      <c r="K6" s="30">
        <v>9362100768</v>
      </c>
      <c r="L6" s="39" t="s">
        <v>175</v>
      </c>
    </row>
    <row r="7" spans="1:12" ht="39.9" customHeight="1" x14ac:dyDescent="0.4">
      <c r="A7" s="44">
        <v>4</v>
      </c>
      <c r="B7" s="31" t="s">
        <v>184</v>
      </c>
      <c r="C7" s="30" t="s">
        <v>185</v>
      </c>
      <c r="D7" s="32">
        <v>45393</v>
      </c>
      <c r="E7" s="32">
        <v>45972</v>
      </c>
      <c r="F7" s="36">
        <v>7500</v>
      </c>
      <c r="G7" s="36">
        <v>136000</v>
      </c>
      <c r="H7" s="36">
        <v>71500</v>
      </c>
      <c r="I7" s="36">
        <v>64500</v>
      </c>
      <c r="J7" s="21">
        <v>45902</v>
      </c>
      <c r="K7" s="30">
        <v>9943006535</v>
      </c>
      <c r="L7" s="39" t="s">
        <v>175</v>
      </c>
    </row>
    <row r="8" spans="1:12" ht="39.9" customHeight="1" x14ac:dyDescent="0.4">
      <c r="A8" s="44">
        <v>5</v>
      </c>
      <c r="B8" s="31" t="s">
        <v>116</v>
      </c>
      <c r="C8" s="30" t="s">
        <v>186</v>
      </c>
      <c r="D8" s="32">
        <v>45422</v>
      </c>
      <c r="E8" s="32">
        <v>46001</v>
      </c>
      <c r="F8" s="36">
        <v>18500</v>
      </c>
      <c r="G8" s="36">
        <v>321250</v>
      </c>
      <c r="H8" s="36">
        <v>297150</v>
      </c>
      <c r="I8" s="36">
        <v>24100</v>
      </c>
      <c r="J8" s="21">
        <v>45993</v>
      </c>
      <c r="K8" s="30">
        <v>8344483007</v>
      </c>
      <c r="L8" s="39" t="s">
        <v>175</v>
      </c>
    </row>
    <row r="9" spans="1:12" ht="39.9" customHeight="1" x14ac:dyDescent="0.4">
      <c r="A9" s="44">
        <v>6</v>
      </c>
      <c r="B9" s="31" t="s">
        <v>187</v>
      </c>
      <c r="C9" s="30" t="s">
        <v>188</v>
      </c>
      <c r="D9" s="32">
        <v>45463</v>
      </c>
      <c r="E9" s="32">
        <v>46042</v>
      </c>
      <c r="F9" s="36">
        <v>14550</v>
      </c>
      <c r="G9" s="36">
        <v>232650</v>
      </c>
      <c r="H9" s="36">
        <v>212000</v>
      </c>
      <c r="I9" s="36">
        <v>20650</v>
      </c>
      <c r="J9" s="21">
        <v>45993</v>
      </c>
      <c r="K9" s="30">
        <v>9003712244</v>
      </c>
      <c r="L9" s="39" t="s">
        <v>175</v>
      </c>
    </row>
    <row r="10" spans="1:12" ht="39.9" customHeight="1" x14ac:dyDescent="0.4">
      <c r="A10" s="44">
        <v>7</v>
      </c>
      <c r="B10" s="31" t="s">
        <v>189</v>
      </c>
      <c r="C10" s="30" t="s">
        <v>190</v>
      </c>
      <c r="D10" s="32">
        <v>45463</v>
      </c>
      <c r="E10" s="32">
        <v>46042</v>
      </c>
      <c r="F10" s="36">
        <v>9700</v>
      </c>
      <c r="G10" s="36">
        <v>155100</v>
      </c>
      <c r="H10" s="36">
        <v>91350</v>
      </c>
      <c r="I10" s="36">
        <v>63750</v>
      </c>
      <c r="J10" s="21">
        <v>45918</v>
      </c>
      <c r="K10" s="30">
        <v>9944283210</v>
      </c>
      <c r="L10" s="39" t="s">
        <v>17</v>
      </c>
    </row>
    <row r="11" spans="1:12" ht="39.9" customHeight="1" x14ac:dyDescent="0.4">
      <c r="A11" s="44">
        <v>8</v>
      </c>
      <c r="B11" s="31" t="s">
        <v>191</v>
      </c>
      <c r="C11" s="30" t="s">
        <v>192</v>
      </c>
      <c r="D11" s="32">
        <v>45483</v>
      </c>
      <c r="E11" s="32">
        <v>46063</v>
      </c>
      <c r="F11" s="36">
        <v>9600</v>
      </c>
      <c r="G11" s="36">
        <v>145400</v>
      </c>
      <c r="H11" s="36">
        <v>128300</v>
      </c>
      <c r="I11" s="36">
        <v>17100</v>
      </c>
      <c r="J11" s="21">
        <v>45989</v>
      </c>
      <c r="K11" s="30">
        <v>9944084905</v>
      </c>
      <c r="L11" s="39" t="s">
        <v>175</v>
      </c>
    </row>
    <row r="12" spans="1:12" ht="39.9" customHeight="1" x14ac:dyDescent="0.4">
      <c r="A12" s="44">
        <v>9</v>
      </c>
      <c r="B12" s="31" t="s">
        <v>193</v>
      </c>
      <c r="C12" s="30" t="s">
        <v>194</v>
      </c>
      <c r="D12" s="32">
        <v>45483</v>
      </c>
      <c r="E12" s="32">
        <v>46063</v>
      </c>
      <c r="F12" s="36">
        <v>4800</v>
      </c>
      <c r="G12" s="36">
        <v>72700</v>
      </c>
      <c r="H12" s="36">
        <v>72700</v>
      </c>
      <c r="I12" s="35"/>
      <c r="J12" s="21">
        <v>45988</v>
      </c>
      <c r="K12" s="30">
        <v>9865522901</v>
      </c>
      <c r="L12" s="39" t="s">
        <v>195</v>
      </c>
    </row>
    <row r="13" spans="1:12" ht="39.9" customHeight="1" x14ac:dyDescent="0.4">
      <c r="A13" s="44">
        <v>10</v>
      </c>
      <c r="B13" s="31" t="s">
        <v>196</v>
      </c>
      <c r="C13" s="30" t="s">
        <v>197</v>
      </c>
      <c r="D13" s="32">
        <v>45493</v>
      </c>
      <c r="E13" s="32">
        <v>46073</v>
      </c>
      <c r="F13" s="36">
        <v>3600</v>
      </c>
      <c r="G13" s="36">
        <v>56900</v>
      </c>
      <c r="H13" s="36">
        <v>38050</v>
      </c>
      <c r="I13" s="36">
        <v>18850</v>
      </c>
      <c r="J13" s="21">
        <v>45981</v>
      </c>
      <c r="K13" s="30">
        <v>9443694527</v>
      </c>
      <c r="L13" s="39" t="s">
        <v>175</v>
      </c>
    </row>
    <row r="14" spans="1:12" ht="39.9" customHeight="1" x14ac:dyDescent="0.4">
      <c r="A14" s="44">
        <v>11</v>
      </c>
      <c r="B14" s="31" t="s">
        <v>198</v>
      </c>
      <c r="C14" s="30" t="s">
        <v>199</v>
      </c>
      <c r="D14" s="32">
        <v>45514</v>
      </c>
      <c r="E14" s="32">
        <v>46091</v>
      </c>
      <c r="F14" s="36">
        <v>9300</v>
      </c>
      <c r="G14" s="36">
        <v>135800</v>
      </c>
      <c r="H14" s="36">
        <v>135800</v>
      </c>
      <c r="I14" s="35"/>
      <c r="J14" s="21">
        <v>45993</v>
      </c>
      <c r="K14" s="30">
        <v>9940702677</v>
      </c>
      <c r="L14" s="39" t="s">
        <v>175</v>
      </c>
    </row>
    <row r="15" spans="1:12" ht="39.9" customHeight="1" x14ac:dyDescent="0.4">
      <c r="A15" s="44">
        <v>12</v>
      </c>
      <c r="B15" s="31" t="s">
        <v>200</v>
      </c>
      <c r="C15" s="30" t="s">
        <v>201</v>
      </c>
      <c r="D15" s="32">
        <v>45514</v>
      </c>
      <c r="E15" s="32">
        <v>46091</v>
      </c>
      <c r="F15" s="36">
        <v>9300</v>
      </c>
      <c r="G15" s="36">
        <v>135800</v>
      </c>
      <c r="H15" s="36">
        <v>135800</v>
      </c>
      <c r="I15" s="35"/>
      <c r="J15" s="21">
        <v>45992</v>
      </c>
      <c r="K15" s="30">
        <v>9677626220</v>
      </c>
      <c r="L15" s="39" t="s">
        <v>175</v>
      </c>
    </row>
    <row r="16" spans="1:12" ht="39.9" customHeight="1" x14ac:dyDescent="0.4">
      <c r="A16" s="44">
        <v>13</v>
      </c>
      <c r="B16" s="31" t="s">
        <v>202</v>
      </c>
      <c r="C16" s="30" t="s">
        <v>203</v>
      </c>
      <c r="D16" s="32">
        <v>45545</v>
      </c>
      <c r="E16" s="32">
        <v>46122</v>
      </c>
      <c r="F16" s="33">
        <v>13650</v>
      </c>
      <c r="G16" s="33">
        <v>189750</v>
      </c>
      <c r="H16" s="33">
        <v>191500</v>
      </c>
      <c r="I16" s="33">
        <v>0</v>
      </c>
      <c r="J16" s="34">
        <v>45994</v>
      </c>
      <c r="K16" s="30">
        <v>9842786338</v>
      </c>
      <c r="L16" s="39" t="s">
        <v>17</v>
      </c>
    </row>
    <row r="17" spans="1:12" ht="39.9" customHeight="1" x14ac:dyDescent="0.4">
      <c r="A17" s="44">
        <v>14</v>
      </c>
      <c r="B17" s="31" t="s">
        <v>204</v>
      </c>
      <c r="C17" s="30" t="s">
        <v>205</v>
      </c>
      <c r="D17" s="32">
        <v>45590</v>
      </c>
      <c r="E17" s="32">
        <v>46167</v>
      </c>
      <c r="F17" s="36">
        <v>8950</v>
      </c>
      <c r="G17" s="36">
        <v>117400</v>
      </c>
      <c r="H17" s="36">
        <v>117400</v>
      </c>
      <c r="I17" s="35"/>
      <c r="J17" s="21">
        <v>45993</v>
      </c>
      <c r="K17" s="30">
        <v>9842742062</v>
      </c>
      <c r="L17" s="39" t="s">
        <v>175</v>
      </c>
    </row>
    <row r="18" spans="1:12" ht="39.9" customHeight="1" x14ac:dyDescent="0.4">
      <c r="A18" s="44">
        <v>15</v>
      </c>
      <c r="B18" s="31" t="s">
        <v>206</v>
      </c>
      <c r="C18" s="30" t="s">
        <v>207</v>
      </c>
      <c r="D18" s="32">
        <v>45590</v>
      </c>
      <c r="E18" s="32">
        <v>46167</v>
      </c>
      <c r="F18" s="36">
        <v>4475</v>
      </c>
      <c r="G18" s="36">
        <v>58700</v>
      </c>
      <c r="H18" s="36">
        <v>57300</v>
      </c>
      <c r="I18" s="36">
        <v>1400</v>
      </c>
      <c r="J18" s="21">
        <v>45993</v>
      </c>
      <c r="K18" s="30">
        <v>9787806780</v>
      </c>
      <c r="L18" s="39" t="s">
        <v>36</v>
      </c>
    </row>
    <row r="19" spans="1:12" ht="39.9" customHeight="1" x14ac:dyDescent="0.4">
      <c r="A19" s="44">
        <v>16</v>
      </c>
      <c r="B19" s="31" t="s">
        <v>208</v>
      </c>
      <c r="C19" s="30" t="s">
        <v>209</v>
      </c>
      <c r="D19" s="32">
        <v>45621</v>
      </c>
      <c r="E19" s="32">
        <v>46198</v>
      </c>
      <c r="F19" s="36">
        <v>4400</v>
      </c>
      <c r="G19" s="36">
        <v>54225</v>
      </c>
      <c r="H19" s="36">
        <v>35400</v>
      </c>
      <c r="I19" s="36">
        <v>18825</v>
      </c>
      <c r="J19" s="21">
        <v>45989</v>
      </c>
      <c r="K19" s="30">
        <v>8270369405</v>
      </c>
      <c r="L19" s="39" t="s">
        <v>85</v>
      </c>
    </row>
    <row r="20" spans="1:12" ht="39.9" customHeight="1" x14ac:dyDescent="0.4">
      <c r="A20" s="44">
        <v>17</v>
      </c>
      <c r="B20" s="31" t="s">
        <v>210</v>
      </c>
      <c r="C20" s="30" t="s">
        <v>211</v>
      </c>
      <c r="D20" s="32">
        <v>45651</v>
      </c>
      <c r="E20" s="32">
        <v>46228</v>
      </c>
      <c r="F20" s="33">
        <v>4300</v>
      </c>
      <c r="G20" s="33">
        <v>49825</v>
      </c>
      <c r="H20" s="33">
        <v>45200</v>
      </c>
      <c r="I20" s="33">
        <f>G20-H20</f>
        <v>4625</v>
      </c>
      <c r="J20" s="34">
        <v>45957</v>
      </c>
      <c r="K20" s="30">
        <v>8883825328</v>
      </c>
      <c r="L20" s="39" t="s">
        <v>36</v>
      </c>
    </row>
    <row r="21" spans="1:12" ht="39.9" customHeight="1" thickBot="1" x14ac:dyDescent="0.45">
      <c r="A21" s="44">
        <v>18</v>
      </c>
      <c r="B21" s="40" t="s">
        <v>212</v>
      </c>
      <c r="C21" s="41" t="s">
        <v>213</v>
      </c>
      <c r="D21" s="42">
        <v>45682</v>
      </c>
      <c r="E21" s="42">
        <v>46259</v>
      </c>
      <c r="F21" s="52">
        <v>8450</v>
      </c>
      <c r="G21" s="52">
        <v>91050</v>
      </c>
      <c r="H21" s="52">
        <v>72700</v>
      </c>
      <c r="I21" s="52">
        <v>18350</v>
      </c>
      <c r="J21" s="53">
        <v>45993</v>
      </c>
      <c r="K21" s="41">
        <v>7010705093</v>
      </c>
      <c r="L21" s="43" t="s">
        <v>175</v>
      </c>
    </row>
    <row r="22" spans="1:12" ht="39.9" customHeight="1" thickBot="1" x14ac:dyDescent="0.45">
      <c r="A22" s="74" t="s">
        <v>41</v>
      </c>
      <c r="B22" s="75"/>
      <c r="C22" s="75"/>
      <c r="D22" s="75"/>
      <c r="E22" s="75"/>
      <c r="F22" s="57">
        <f>SUM(F4:F21)</f>
        <v>179675</v>
      </c>
      <c r="G22" s="57">
        <f>SUM(G4:G21)</f>
        <v>2807600</v>
      </c>
      <c r="H22" s="57">
        <f>SUM(H4:H21)</f>
        <v>2117300</v>
      </c>
      <c r="I22" s="57">
        <f>SUM(I4:I21)</f>
        <v>692050</v>
      </c>
      <c r="J22" s="83"/>
      <c r="K22" s="83"/>
      <c r="L22" s="84"/>
    </row>
    <row r="23" spans="1:12" ht="21" x14ac:dyDescent="0.4">
      <c r="A23" s="54"/>
      <c r="B23" s="55"/>
      <c r="C23" s="54"/>
      <c r="D23" s="54"/>
      <c r="E23" s="54"/>
      <c r="F23" s="56"/>
      <c r="G23" s="56"/>
      <c r="H23" s="56"/>
      <c r="I23" s="56"/>
      <c r="J23" s="54"/>
      <c r="K23" s="54"/>
      <c r="L23" s="54"/>
    </row>
    <row r="24" spans="1:12" ht="21.6" thickBot="1" x14ac:dyDescent="0.45">
      <c r="A24" s="47"/>
      <c r="B24" s="46"/>
      <c r="C24" s="47"/>
      <c r="D24" s="47"/>
      <c r="E24" s="47"/>
      <c r="F24" s="62"/>
      <c r="G24" s="62"/>
      <c r="H24" s="62"/>
      <c r="I24" s="62"/>
      <c r="J24" s="47"/>
      <c r="K24" s="47"/>
      <c r="L24" s="47"/>
    </row>
    <row r="25" spans="1:12" ht="39.9" customHeight="1" x14ac:dyDescent="0.35">
      <c r="A25" s="80" t="s">
        <v>321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2"/>
    </row>
    <row r="26" spans="1:12" ht="39.9" customHeight="1" x14ac:dyDescent="0.35">
      <c r="A26" s="58">
        <v>45962</v>
      </c>
      <c r="B26" s="78" t="s">
        <v>342</v>
      </c>
      <c r="C26" s="78"/>
      <c r="D26" s="78"/>
      <c r="E26" s="78"/>
      <c r="F26" s="78"/>
      <c r="G26" s="78"/>
      <c r="H26" s="78"/>
      <c r="I26" s="78"/>
      <c r="J26" s="78"/>
      <c r="K26" s="78"/>
      <c r="L26" s="60" t="s">
        <v>512</v>
      </c>
    </row>
    <row r="27" spans="1:12" ht="39.9" customHeight="1" x14ac:dyDescent="0.35">
      <c r="A27" s="59" t="s">
        <v>111</v>
      </c>
      <c r="B27" s="51" t="s">
        <v>1</v>
      </c>
      <c r="C27" s="29" t="s">
        <v>2</v>
      </c>
      <c r="D27" s="29" t="s">
        <v>3</v>
      </c>
      <c r="E27" s="29" t="s">
        <v>4</v>
      </c>
      <c r="F27" s="29" t="s">
        <v>112</v>
      </c>
      <c r="G27" s="29" t="s">
        <v>6</v>
      </c>
      <c r="H27" s="29" t="s">
        <v>7</v>
      </c>
      <c r="I27" s="24" t="s">
        <v>8</v>
      </c>
      <c r="J27" s="29" t="s">
        <v>9</v>
      </c>
      <c r="K27" s="29" t="s">
        <v>10</v>
      </c>
      <c r="L27" s="61" t="s">
        <v>11</v>
      </c>
    </row>
    <row r="28" spans="1:12" ht="39.9" customHeight="1" x14ac:dyDescent="0.4">
      <c r="A28" s="44">
        <v>1</v>
      </c>
      <c r="B28" s="31" t="s">
        <v>214</v>
      </c>
      <c r="C28" s="30" t="s">
        <v>215</v>
      </c>
      <c r="D28" s="32">
        <v>45713</v>
      </c>
      <c r="E28" s="32">
        <v>46290</v>
      </c>
      <c r="F28" s="36">
        <v>20000</v>
      </c>
      <c r="G28" s="36">
        <v>65000</v>
      </c>
      <c r="H28" s="36">
        <v>47600</v>
      </c>
      <c r="I28" s="36">
        <v>17400</v>
      </c>
      <c r="J28" s="21">
        <v>45993</v>
      </c>
      <c r="K28" s="30">
        <v>9344970951</v>
      </c>
      <c r="L28" s="39" t="s">
        <v>85</v>
      </c>
    </row>
    <row r="29" spans="1:12" ht="39.9" customHeight="1" x14ac:dyDescent="0.4">
      <c r="A29" s="44">
        <v>2</v>
      </c>
      <c r="B29" s="31" t="s">
        <v>216</v>
      </c>
      <c r="C29" s="30" t="s">
        <v>217</v>
      </c>
      <c r="D29" s="32">
        <v>45741</v>
      </c>
      <c r="E29" s="32">
        <v>46320</v>
      </c>
      <c r="F29" s="36">
        <v>4100</v>
      </c>
      <c r="G29" s="36">
        <v>37150</v>
      </c>
      <c r="H29" s="36">
        <v>5000</v>
      </c>
      <c r="I29" s="36">
        <v>32150</v>
      </c>
      <c r="J29" s="21">
        <v>45901</v>
      </c>
      <c r="K29" s="30">
        <v>7667662797</v>
      </c>
      <c r="L29" s="39" t="s">
        <v>175</v>
      </c>
    </row>
    <row r="30" spans="1:12" ht="39.9" customHeight="1" x14ac:dyDescent="0.4">
      <c r="A30" s="44">
        <v>3</v>
      </c>
      <c r="B30" s="31" t="s">
        <v>218</v>
      </c>
      <c r="C30" s="30" t="s">
        <v>219</v>
      </c>
      <c r="D30" s="32">
        <v>45741</v>
      </c>
      <c r="E30" s="32">
        <v>46320</v>
      </c>
      <c r="F30" s="36">
        <v>8200</v>
      </c>
      <c r="G30" s="36">
        <v>74300</v>
      </c>
      <c r="H30" s="36">
        <v>74300</v>
      </c>
      <c r="I30" s="35"/>
      <c r="J30" s="21">
        <v>45989</v>
      </c>
      <c r="K30" s="30">
        <v>7449058951</v>
      </c>
      <c r="L30" s="39" t="s">
        <v>73</v>
      </c>
    </row>
    <row r="31" spans="1:12" ht="39.9" customHeight="1" x14ac:dyDescent="0.4">
      <c r="A31" s="44">
        <v>4</v>
      </c>
      <c r="B31" s="31" t="s">
        <v>220</v>
      </c>
      <c r="C31" s="30" t="s">
        <v>221</v>
      </c>
      <c r="D31" s="32">
        <v>45741</v>
      </c>
      <c r="E31" s="32">
        <v>46320</v>
      </c>
      <c r="F31" s="36">
        <v>20500</v>
      </c>
      <c r="G31" s="36">
        <v>185750</v>
      </c>
      <c r="H31" s="36">
        <v>185750</v>
      </c>
      <c r="I31" s="35"/>
      <c r="J31" s="21">
        <v>45993</v>
      </c>
      <c r="K31" s="30">
        <v>9498118080</v>
      </c>
      <c r="L31" s="39" t="s">
        <v>36</v>
      </c>
    </row>
    <row r="32" spans="1:12" ht="39.9" customHeight="1" x14ac:dyDescent="0.4">
      <c r="A32" s="44">
        <v>5</v>
      </c>
      <c r="B32" s="31" t="s">
        <v>222</v>
      </c>
      <c r="C32" s="30" t="s">
        <v>223</v>
      </c>
      <c r="D32" s="32">
        <v>45741</v>
      </c>
      <c r="E32" s="32">
        <v>46320</v>
      </c>
      <c r="F32" s="36">
        <v>28800</v>
      </c>
      <c r="G32" s="36">
        <v>234000</v>
      </c>
      <c r="H32" s="36">
        <v>208000</v>
      </c>
      <c r="I32" s="36">
        <v>26000</v>
      </c>
      <c r="J32" s="21">
        <v>45993</v>
      </c>
      <c r="K32" s="30">
        <v>9940923754</v>
      </c>
      <c r="L32" s="39" t="s">
        <v>175</v>
      </c>
    </row>
    <row r="33" spans="1:12" ht="39.9" customHeight="1" x14ac:dyDescent="0.4">
      <c r="A33" s="44">
        <v>6</v>
      </c>
      <c r="B33" s="31" t="s">
        <v>224</v>
      </c>
      <c r="C33" s="30" t="s">
        <v>225</v>
      </c>
      <c r="D33" s="32">
        <v>45741</v>
      </c>
      <c r="E33" s="32">
        <v>46320</v>
      </c>
      <c r="F33" s="36">
        <v>8200</v>
      </c>
      <c r="G33" s="36">
        <v>76300</v>
      </c>
      <c r="H33" s="36">
        <v>53850</v>
      </c>
      <c r="I33" s="36">
        <v>22450</v>
      </c>
      <c r="J33" s="21">
        <v>45993</v>
      </c>
      <c r="K33" s="30">
        <v>8778007493</v>
      </c>
      <c r="L33" s="39" t="s">
        <v>36</v>
      </c>
    </row>
    <row r="34" spans="1:12" ht="39.9" customHeight="1" x14ac:dyDescent="0.4">
      <c r="A34" s="44">
        <v>7</v>
      </c>
      <c r="B34" s="31" t="s">
        <v>226</v>
      </c>
      <c r="C34" s="30" t="s">
        <v>227</v>
      </c>
      <c r="D34" s="32">
        <v>45741</v>
      </c>
      <c r="E34" s="32">
        <v>46320</v>
      </c>
      <c r="F34" s="36">
        <v>40500</v>
      </c>
      <c r="G34" s="36">
        <v>330500</v>
      </c>
      <c r="H34" s="36">
        <v>158100</v>
      </c>
      <c r="I34" s="36">
        <v>172400</v>
      </c>
      <c r="J34" s="21">
        <v>45967</v>
      </c>
      <c r="K34" s="30">
        <v>9894921681</v>
      </c>
      <c r="L34" s="39" t="s">
        <v>17</v>
      </c>
    </row>
    <row r="35" spans="1:12" ht="39.9" customHeight="1" x14ac:dyDescent="0.4">
      <c r="A35" s="44">
        <v>8</v>
      </c>
      <c r="B35" s="31" t="s">
        <v>228</v>
      </c>
      <c r="C35" s="30" t="s">
        <v>229</v>
      </c>
      <c r="D35" s="32">
        <v>45772</v>
      </c>
      <c r="E35" s="32">
        <v>46351</v>
      </c>
      <c r="F35" s="36">
        <v>4050</v>
      </c>
      <c r="G35" s="36">
        <v>33050</v>
      </c>
      <c r="H35" s="36">
        <v>33050</v>
      </c>
      <c r="I35" s="35"/>
      <c r="J35" s="21">
        <v>45993</v>
      </c>
      <c r="K35" s="30">
        <v>9597777121</v>
      </c>
      <c r="L35" s="39" t="s">
        <v>175</v>
      </c>
    </row>
    <row r="36" spans="1:12" ht="39.9" customHeight="1" x14ac:dyDescent="0.4">
      <c r="A36" s="44">
        <v>9</v>
      </c>
      <c r="B36" s="31" t="s">
        <v>230</v>
      </c>
      <c r="C36" s="30" t="s">
        <v>231</v>
      </c>
      <c r="D36" s="32">
        <v>45772</v>
      </c>
      <c r="E36" s="32">
        <v>46351</v>
      </c>
      <c r="F36" s="36">
        <v>8100</v>
      </c>
      <c r="G36" s="36">
        <v>66100</v>
      </c>
      <c r="H36" s="36">
        <v>41300</v>
      </c>
      <c r="I36" s="36">
        <v>24800</v>
      </c>
      <c r="J36" s="21">
        <v>45993</v>
      </c>
      <c r="K36" s="30">
        <v>8489393639</v>
      </c>
      <c r="L36" s="39" t="s">
        <v>17</v>
      </c>
    </row>
    <row r="37" spans="1:12" ht="39.9" customHeight="1" x14ac:dyDescent="0.4">
      <c r="A37" s="44">
        <v>10</v>
      </c>
      <c r="B37" s="31" t="s">
        <v>232</v>
      </c>
      <c r="C37" s="30" t="s">
        <v>233</v>
      </c>
      <c r="D37" s="32">
        <v>45772</v>
      </c>
      <c r="E37" s="32">
        <v>46351</v>
      </c>
      <c r="F37" s="36">
        <v>9300</v>
      </c>
      <c r="G37" s="36">
        <v>68400</v>
      </c>
      <c r="H37" s="36">
        <v>68400</v>
      </c>
      <c r="I37" s="35"/>
      <c r="J37" s="21">
        <v>45993</v>
      </c>
      <c r="K37" s="30">
        <v>9489797045</v>
      </c>
      <c r="L37" s="39" t="s">
        <v>17</v>
      </c>
    </row>
    <row r="38" spans="1:12" ht="39.9" customHeight="1" x14ac:dyDescent="0.4">
      <c r="A38" s="44">
        <v>11</v>
      </c>
      <c r="B38" s="31" t="s">
        <v>234</v>
      </c>
      <c r="C38" s="30" t="s">
        <v>235</v>
      </c>
      <c r="D38" s="32">
        <v>45772</v>
      </c>
      <c r="E38" s="32">
        <v>46351</v>
      </c>
      <c r="F38" s="36">
        <v>16000</v>
      </c>
      <c r="G38" s="36">
        <v>132000</v>
      </c>
      <c r="H38" s="36">
        <v>117300</v>
      </c>
      <c r="I38" s="36">
        <v>14700</v>
      </c>
      <c r="J38" s="21">
        <v>45993</v>
      </c>
      <c r="K38" s="30">
        <v>9791277338</v>
      </c>
      <c r="L38" s="39" t="s">
        <v>17</v>
      </c>
    </row>
    <row r="39" spans="1:12" ht="39.9" customHeight="1" x14ac:dyDescent="0.4">
      <c r="A39" s="44">
        <v>12</v>
      </c>
      <c r="B39" s="31" t="s">
        <v>236</v>
      </c>
      <c r="C39" s="30" t="s">
        <v>237</v>
      </c>
      <c r="D39" s="32">
        <v>45802</v>
      </c>
      <c r="E39" s="32">
        <v>46381</v>
      </c>
      <c r="F39" s="36">
        <v>20000</v>
      </c>
      <c r="G39" s="36">
        <v>145000</v>
      </c>
      <c r="H39" s="36">
        <v>105400</v>
      </c>
      <c r="I39" s="36">
        <v>39600</v>
      </c>
      <c r="J39" s="21">
        <v>45992</v>
      </c>
      <c r="K39" s="30">
        <v>9940381378</v>
      </c>
      <c r="L39" s="39" t="s">
        <v>175</v>
      </c>
    </row>
    <row r="40" spans="1:12" ht="39.9" customHeight="1" x14ac:dyDescent="0.4">
      <c r="A40" s="44">
        <v>13</v>
      </c>
      <c r="B40" s="31" t="s">
        <v>238</v>
      </c>
      <c r="C40" s="30" t="s">
        <v>239</v>
      </c>
      <c r="D40" s="32">
        <v>45863</v>
      </c>
      <c r="E40" s="32">
        <v>46443</v>
      </c>
      <c r="F40" s="36">
        <v>4000</v>
      </c>
      <c r="G40" s="36">
        <v>25000</v>
      </c>
      <c r="H40" s="36">
        <v>25000</v>
      </c>
      <c r="I40" s="35"/>
      <c r="J40" s="21">
        <v>45988</v>
      </c>
      <c r="K40" s="30">
        <v>7010908505</v>
      </c>
      <c r="L40" s="39" t="s">
        <v>175</v>
      </c>
    </row>
    <row r="41" spans="1:12" ht="39.9" customHeight="1" x14ac:dyDescent="0.4">
      <c r="A41" s="44">
        <v>14</v>
      </c>
      <c r="B41" s="31" t="s">
        <v>222</v>
      </c>
      <c r="C41" s="30" t="s">
        <v>240</v>
      </c>
      <c r="D41" s="32">
        <v>45802</v>
      </c>
      <c r="E41" s="32">
        <v>46381</v>
      </c>
      <c r="F41" s="36">
        <v>17600</v>
      </c>
      <c r="G41" s="36">
        <v>118200</v>
      </c>
      <c r="H41" s="36">
        <v>116500</v>
      </c>
      <c r="I41" s="36">
        <v>1700</v>
      </c>
      <c r="J41" s="21">
        <v>45993</v>
      </c>
      <c r="K41" s="30">
        <v>9940923754</v>
      </c>
      <c r="L41" s="39" t="s">
        <v>175</v>
      </c>
    </row>
    <row r="42" spans="1:12" ht="39.9" customHeight="1" x14ac:dyDescent="0.4">
      <c r="A42" s="44">
        <v>15</v>
      </c>
      <c r="B42" s="31" t="s">
        <v>241</v>
      </c>
      <c r="C42" s="30" t="s">
        <v>242</v>
      </c>
      <c r="D42" s="32">
        <v>45422</v>
      </c>
      <c r="E42" s="32">
        <v>46001</v>
      </c>
      <c r="F42" s="36">
        <v>4000</v>
      </c>
      <c r="G42" s="36">
        <v>25000</v>
      </c>
      <c r="H42" s="36">
        <v>4000</v>
      </c>
      <c r="I42" s="36">
        <v>21000</v>
      </c>
      <c r="J42" s="21">
        <v>45839</v>
      </c>
      <c r="K42" s="30">
        <v>8098927191</v>
      </c>
      <c r="L42" s="39" t="s">
        <v>175</v>
      </c>
    </row>
    <row r="43" spans="1:12" ht="39.9" customHeight="1" x14ac:dyDescent="0.4">
      <c r="A43" s="44">
        <v>16</v>
      </c>
      <c r="B43" s="31" t="s">
        <v>243</v>
      </c>
      <c r="C43" s="30" t="s">
        <v>244</v>
      </c>
      <c r="D43" s="32">
        <v>45833</v>
      </c>
      <c r="E43" s="32">
        <v>46412</v>
      </c>
      <c r="F43" s="36">
        <v>4000</v>
      </c>
      <c r="G43" s="36">
        <v>21000</v>
      </c>
      <c r="H43" s="36">
        <v>21000</v>
      </c>
      <c r="I43" s="35"/>
      <c r="J43" s="21">
        <v>45989</v>
      </c>
      <c r="K43" s="30">
        <v>9629142783</v>
      </c>
      <c r="L43" s="39" t="s">
        <v>73</v>
      </c>
    </row>
    <row r="44" spans="1:12" ht="39.9" customHeight="1" x14ac:dyDescent="0.4">
      <c r="A44" s="44">
        <v>17</v>
      </c>
      <c r="B44" s="31" t="s">
        <v>245</v>
      </c>
      <c r="C44" s="30" t="s">
        <v>246</v>
      </c>
      <c r="D44" s="32">
        <v>45833</v>
      </c>
      <c r="E44" s="32">
        <v>46412</v>
      </c>
      <c r="F44" s="36">
        <v>4000</v>
      </c>
      <c r="G44" s="36">
        <v>21000</v>
      </c>
      <c r="H44" s="36">
        <v>21000</v>
      </c>
      <c r="I44" s="35"/>
      <c r="J44" s="21">
        <v>45993</v>
      </c>
      <c r="K44" s="30">
        <v>8778660088</v>
      </c>
      <c r="L44" s="39" t="s">
        <v>73</v>
      </c>
    </row>
    <row r="45" spans="1:12" ht="39.9" customHeight="1" x14ac:dyDescent="0.4">
      <c r="A45" s="44">
        <v>18</v>
      </c>
      <c r="B45" s="31" t="s">
        <v>248</v>
      </c>
      <c r="C45" s="30" t="s">
        <v>54</v>
      </c>
      <c r="D45" s="32">
        <v>45863</v>
      </c>
      <c r="E45" s="32">
        <v>46443</v>
      </c>
      <c r="F45" s="36">
        <v>4000</v>
      </c>
      <c r="G45" s="36">
        <v>21000</v>
      </c>
      <c r="H45" s="36">
        <v>21000</v>
      </c>
      <c r="I45" s="35"/>
      <c r="J45" s="21">
        <v>45993</v>
      </c>
      <c r="K45" s="30">
        <v>9788234208</v>
      </c>
      <c r="L45" s="39" t="s">
        <v>247</v>
      </c>
    </row>
    <row r="46" spans="1:12" ht="39.9" customHeight="1" x14ac:dyDescent="0.4">
      <c r="A46" s="44">
        <v>19</v>
      </c>
      <c r="B46" s="31" t="s">
        <v>249</v>
      </c>
      <c r="C46" s="30" t="s">
        <v>250</v>
      </c>
      <c r="D46" s="32">
        <v>45741</v>
      </c>
      <c r="E46" s="32">
        <v>46320</v>
      </c>
      <c r="F46" s="36">
        <v>16000</v>
      </c>
      <c r="G46" s="36">
        <v>84000</v>
      </c>
      <c r="H46" s="36">
        <v>77950</v>
      </c>
      <c r="I46" s="36">
        <v>6050</v>
      </c>
      <c r="J46" s="21">
        <v>45993</v>
      </c>
      <c r="K46" s="30">
        <v>9445254111</v>
      </c>
      <c r="L46" s="39" t="s">
        <v>85</v>
      </c>
    </row>
    <row r="47" spans="1:12" ht="39.9" customHeight="1" x14ac:dyDescent="0.4">
      <c r="A47" s="44">
        <v>20</v>
      </c>
      <c r="B47" s="31" t="s">
        <v>251</v>
      </c>
      <c r="C47" s="30" t="s">
        <v>252</v>
      </c>
      <c r="D47" s="32">
        <v>45894</v>
      </c>
      <c r="E47" s="32">
        <v>46451</v>
      </c>
      <c r="F47" s="36">
        <v>20000</v>
      </c>
      <c r="G47" s="36">
        <v>85000</v>
      </c>
      <c r="H47" s="36">
        <v>85000</v>
      </c>
      <c r="I47" s="35"/>
      <c r="J47" s="21">
        <v>45993</v>
      </c>
      <c r="K47" s="30">
        <v>9677602086</v>
      </c>
      <c r="L47" s="39" t="s">
        <v>253</v>
      </c>
    </row>
    <row r="48" spans="1:12" ht="39.9" customHeight="1" x14ac:dyDescent="0.4">
      <c r="A48" s="44">
        <v>21</v>
      </c>
      <c r="B48" s="31" t="s">
        <v>254</v>
      </c>
      <c r="C48" s="30" t="s">
        <v>235</v>
      </c>
      <c r="D48" s="32">
        <v>45925</v>
      </c>
      <c r="E48" s="32">
        <v>46502</v>
      </c>
      <c r="F48" s="36">
        <v>16000</v>
      </c>
      <c r="G48" s="36">
        <v>52000</v>
      </c>
      <c r="H48" s="36">
        <v>52000</v>
      </c>
      <c r="I48" s="35"/>
      <c r="J48" s="21">
        <v>45993</v>
      </c>
      <c r="K48" s="30">
        <v>9894989751</v>
      </c>
      <c r="L48" s="39" t="s">
        <v>253</v>
      </c>
    </row>
    <row r="49" spans="1:12" ht="39.9" customHeight="1" x14ac:dyDescent="0.4">
      <c r="A49" s="44">
        <v>22</v>
      </c>
      <c r="B49" s="31" t="s">
        <v>255</v>
      </c>
      <c r="C49" s="30" t="s">
        <v>256</v>
      </c>
      <c r="D49" s="32">
        <v>45925</v>
      </c>
      <c r="E49" s="32">
        <v>46502</v>
      </c>
      <c r="F49" s="36">
        <v>40000</v>
      </c>
      <c r="G49" s="36">
        <v>130000</v>
      </c>
      <c r="H49" s="36">
        <v>115500</v>
      </c>
      <c r="I49" s="36">
        <v>14500</v>
      </c>
      <c r="J49" s="21">
        <v>45992</v>
      </c>
      <c r="K49" s="30">
        <v>8012320392</v>
      </c>
      <c r="L49" s="39" t="s">
        <v>253</v>
      </c>
    </row>
    <row r="50" spans="1:12" ht="39.9" customHeight="1" x14ac:dyDescent="0.4">
      <c r="A50" s="44">
        <v>23</v>
      </c>
      <c r="B50" s="23" t="s">
        <v>257</v>
      </c>
      <c r="C50" s="30" t="s">
        <v>258</v>
      </c>
      <c r="D50" s="34">
        <v>45925</v>
      </c>
      <c r="E50" s="34">
        <v>46502</v>
      </c>
      <c r="F50" s="36">
        <v>12000</v>
      </c>
      <c r="G50" s="36">
        <v>39000</v>
      </c>
      <c r="H50" s="36">
        <v>38500</v>
      </c>
      <c r="I50" s="35">
        <v>500</v>
      </c>
      <c r="J50" s="21">
        <v>45993</v>
      </c>
      <c r="K50" s="30">
        <v>7708221188</v>
      </c>
      <c r="L50" s="39" t="s">
        <v>253</v>
      </c>
    </row>
    <row r="51" spans="1:12" ht="39.9" customHeight="1" x14ac:dyDescent="0.4">
      <c r="A51" s="44">
        <v>24</v>
      </c>
      <c r="B51" s="23" t="s">
        <v>259</v>
      </c>
      <c r="C51" s="30" t="s">
        <v>260</v>
      </c>
      <c r="D51" s="34">
        <v>45925</v>
      </c>
      <c r="E51" s="34">
        <v>46502</v>
      </c>
      <c r="F51" s="33">
        <v>12000</v>
      </c>
      <c r="G51" s="33">
        <v>27000</v>
      </c>
      <c r="H51" s="33">
        <v>13000</v>
      </c>
      <c r="I51" s="33">
        <v>14000</v>
      </c>
      <c r="J51" s="21">
        <v>45933</v>
      </c>
      <c r="K51" s="30">
        <v>9865572641</v>
      </c>
      <c r="L51" s="39" t="s">
        <v>17</v>
      </c>
    </row>
    <row r="52" spans="1:12" ht="39.9" customHeight="1" x14ac:dyDescent="0.4">
      <c r="A52" s="44">
        <v>25</v>
      </c>
      <c r="B52" s="23" t="s">
        <v>261</v>
      </c>
      <c r="C52" s="30" t="s">
        <v>262</v>
      </c>
      <c r="D52" s="34">
        <v>45925</v>
      </c>
      <c r="E52" s="34">
        <v>46502</v>
      </c>
      <c r="F52" s="36">
        <v>40000</v>
      </c>
      <c r="G52" s="36">
        <v>130000</v>
      </c>
      <c r="H52" s="36">
        <v>130000</v>
      </c>
      <c r="I52" s="35"/>
      <c r="J52" s="21">
        <v>45993</v>
      </c>
      <c r="K52" s="30">
        <v>9655877222</v>
      </c>
      <c r="L52" s="39" t="s">
        <v>17</v>
      </c>
    </row>
    <row r="53" spans="1:12" ht="39.9" customHeight="1" x14ac:dyDescent="0.4">
      <c r="A53" s="44">
        <v>26</v>
      </c>
      <c r="B53" s="23" t="s">
        <v>263</v>
      </c>
      <c r="C53" s="30" t="s">
        <v>264</v>
      </c>
      <c r="D53" s="34">
        <v>45925</v>
      </c>
      <c r="E53" s="34">
        <v>46502</v>
      </c>
      <c r="F53" s="36">
        <v>40000</v>
      </c>
      <c r="G53" s="36">
        <v>130000</v>
      </c>
      <c r="H53" s="36">
        <v>130000</v>
      </c>
      <c r="I53" s="35"/>
      <c r="J53" s="21">
        <v>45993</v>
      </c>
      <c r="K53" s="30">
        <v>9566841666</v>
      </c>
      <c r="L53" s="39" t="s">
        <v>17</v>
      </c>
    </row>
    <row r="54" spans="1:12" ht="39.9" customHeight="1" x14ac:dyDescent="0.4">
      <c r="A54" s="44">
        <v>27</v>
      </c>
      <c r="B54" s="23" t="s">
        <v>265</v>
      </c>
      <c r="C54" s="30" t="s">
        <v>266</v>
      </c>
      <c r="D54" s="34">
        <v>45925</v>
      </c>
      <c r="E54" s="34">
        <v>46502</v>
      </c>
      <c r="F54" s="36">
        <v>80000</v>
      </c>
      <c r="G54" s="36">
        <v>340000</v>
      </c>
      <c r="H54" s="36">
        <v>340000</v>
      </c>
      <c r="I54" s="35"/>
      <c r="J54" s="21">
        <v>45990</v>
      </c>
      <c r="K54" s="30">
        <v>9597343459</v>
      </c>
      <c r="L54" s="39" t="s">
        <v>17</v>
      </c>
    </row>
    <row r="55" spans="1:12" ht="39.9" customHeight="1" x14ac:dyDescent="0.4">
      <c r="A55" s="44">
        <v>28</v>
      </c>
      <c r="B55" s="23" t="s">
        <v>267</v>
      </c>
      <c r="C55" s="22" t="s">
        <v>268</v>
      </c>
      <c r="D55" s="34">
        <v>45925</v>
      </c>
      <c r="E55" s="34">
        <v>46502</v>
      </c>
      <c r="F55" s="36">
        <v>20000</v>
      </c>
      <c r="G55" s="36">
        <v>65000</v>
      </c>
      <c r="H55" s="36">
        <v>58000</v>
      </c>
      <c r="I55" s="36">
        <v>7000</v>
      </c>
      <c r="J55" s="21">
        <v>45982</v>
      </c>
      <c r="K55" s="30">
        <v>8072321982</v>
      </c>
      <c r="L55" s="45" t="s">
        <v>253</v>
      </c>
    </row>
    <row r="56" spans="1:12" ht="39.9" customHeight="1" x14ac:dyDescent="0.4">
      <c r="A56" s="44">
        <v>29</v>
      </c>
      <c r="B56" s="23" t="s">
        <v>269</v>
      </c>
      <c r="C56" s="22" t="s">
        <v>270</v>
      </c>
      <c r="D56" s="34">
        <v>45925</v>
      </c>
      <c r="E56" s="34">
        <v>46502</v>
      </c>
      <c r="F56" s="36">
        <v>20000</v>
      </c>
      <c r="G56" s="36">
        <v>65000</v>
      </c>
      <c r="H56" s="36">
        <v>47600</v>
      </c>
      <c r="I56" s="36">
        <v>17400</v>
      </c>
      <c r="J56" s="21">
        <v>45993</v>
      </c>
      <c r="K56" s="30">
        <v>8248919923</v>
      </c>
      <c r="L56" s="45" t="s">
        <v>253</v>
      </c>
    </row>
    <row r="57" spans="1:12" ht="39.9" customHeight="1" x14ac:dyDescent="0.4">
      <c r="A57" s="44">
        <v>30</v>
      </c>
      <c r="B57" s="23" t="s">
        <v>208</v>
      </c>
      <c r="C57" s="22" t="s">
        <v>271</v>
      </c>
      <c r="D57" s="34">
        <v>45925</v>
      </c>
      <c r="E57" s="34">
        <v>46502</v>
      </c>
      <c r="F57" s="36">
        <v>4000</v>
      </c>
      <c r="G57" s="36">
        <v>13000</v>
      </c>
      <c r="H57" s="36">
        <v>8850</v>
      </c>
      <c r="I57" s="36">
        <v>4150</v>
      </c>
      <c r="J57" s="21">
        <v>45993</v>
      </c>
      <c r="K57" s="22">
        <v>9787105543</v>
      </c>
      <c r="L57" s="45" t="s">
        <v>73</v>
      </c>
    </row>
    <row r="58" spans="1:12" ht="39.9" customHeight="1" x14ac:dyDescent="0.4">
      <c r="A58" s="44">
        <v>31</v>
      </c>
      <c r="B58" s="23" t="s">
        <v>272</v>
      </c>
      <c r="C58" s="22" t="s">
        <v>273</v>
      </c>
      <c r="D58" s="34">
        <v>45940</v>
      </c>
      <c r="E58" s="34">
        <v>46213</v>
      </c>
      <c r="F58" s="36">
        <v>8000</v>
      </c>
      <c r="G58" s="36">
        <v>26000</v>
      </c>
      <c r="H58" s="36">
        <v>24000</v>
      </c>
      <c r="I58" s="36">
        <v>2000</v>
      </c>
      <c r="J58" s="21">
        <v>45993</v>
      </c>
      <c r="K58" s="30">
        <v>9715187333</v>
      </c>
      <c r="L58" s="45" t="s">
        <v>73</v>
      </c>
    </row>
    <row r="59" spans="1:12" ht="39.9" customHeight="1" x14ac:dyDescent="0.4">
      <c r="A59" s="44">
        <v>32</v>
      </c>
      <c r="B59" s="23" t="s">
        <v>327</v>
      </c>
      <c r="C59" s="22" t="s">
        <v>328</v>
      </c>
      <c r="D59" s="34">
        <v>45940</v>
      </c>
      <c r="E59" s="34">
        <v>46517</v>
      </c>
      <c r="F59" s="36">
        <v>4000</v>
      </c>
      <c r="G59" s="36">
        <v>9000</v>
      </c>
      <c r="H59" s="36">
        <v>6400</v>
      </c>
      <c r="I59" s="36">
        <v>2600</v>
      </c>
      <c r="J59" s="21">
        <v>45993</v>
      </c>
      <c r="K59" s="30">
        <v>9994059498</v>
      </c>
      <c r="L59" s="45" t="s">
        <v>253</v>
      </c>
    </row>
    <row r="60" spans="1:12" ht="39.9" customHeight="1" thickBot="1" x14ac:dyDescent="0.45">
      <c r="A60" s="44">
        <v>33</v>
      </c>
      <c r="B60" s="46" t="s">
        <v>335</v>
      </c>
      <c r="C60" s="47" t="s">
        <v>336</v>
      </c>
      <c r="D60" s="48">
        <v>45955</v>
      </c>
      <c r="E60" s="48">
        <v>46532</v>
      </c>
      <c r="F60" s="52">
        <v>4000</v>
      </c>
      <c r="G60" s="52">
        <v>9000</v>
      </c>
      <c r="H60" s="52">
        <v>9000</v>
      </c>
      <c r="I60" s="63"/>
      <c r="J60" s="53">
        <v>45993</v>
      </c>
      <c r="K60" s="47">
        <v>9700575144</v>
      </c>
      <c r="L60" s="49" t="s">
        <v>36</v>
      </c>
    </row>
    <row r="61" spans="1:12" ht="39.9" customHeight="1" thickBot="1" x14ac:dyDescent="0.45">
      <c r="A61" s="85"/>
      <c r="B61" s="83"/>
      <c r="C61" s="75" t="s">
        <v>41</v>
      </c>
      <c r="D61" s="75"/>
      <c r="E61" s="75"/>
      <c r="F61" s="57">
        <f>SUM(F28:F60)</f>
        <v>561350</v>
      </c>
      <c r="G61" s="57">
        <f>SUM(G28:G60)</f>
        <v>2882750</v>
      </c>
      <c r="H61" s="57">
        <f>SUM(H28:H60)</f>
        <v>2442350</v>
      </c>
      <c r="I61" s="57">
        <f>SUM(I28:I59)</f>
        <v>440400</v>
      </c>
      <c r="J61" s="83"/>
      <c r="K61" s="83"/>
      <c r="L61" s="84"/>
    </row>
    <row r="62" spans="1:12" ht="39.9" customHeight="1" x14ac:dyDescent="0.25"/>
  </sheetData>
  <mergeCells count="9">
    <mergeCell ref="A1:L1"/>
    <mergeCell ref="B26:K26"/>
    <mergeCell ref="B2:K2"/>
    <mergeCell ref="J61:L61"/>
    <mergeCell ref="A61:B61"/>
    <mergeCell ref="C61:E61"/>
    <mergeCell ref="A25:L25"/>
    <mergeCell ref="A22:E22"/>
    <mergeCell ref="J22:L22"/>
  </mergeCells>
  <pageMargins left="0.31496062992125984" right="0.35433070866141736" top="0.5" bottom="0.47244094488188981" header="0.31496062992125984" footer="0.31496062992125984"/>
  <pageSetup paperSize="9" scale="55" orientation="landscape" horizontalDpi="4294967293" verticalDpi="0" r:id="rId1"/>
  <rowBreaks count="1" manualBreakCount="1">
    <brk id="13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ADC5-F0A1-431C-B31C-E92E1D86F77F}">
  <dimension ref="A1:P39"/>
  <sheetViews>
    <sheetView topLeftCell="A18" zoomScale="36" zoomScaleNormal="100" workbookViewId="0">
      <selection activeCell="N37" sqref="B29:N37"/>
    </sheetView>
  </sheetViews>
  <sheetFormatPr defaultColWidth="9.109375" defaultRowHeight="13.8" x14ac:dyDescent="0.25"/>
  <cols>
    <col min="1" max="1" width="11" style="4" customWidth="1"/>
    <col min="2" max="2" width="36.88671875" style="9" customWidth="1"/>
    <col min="3" max="3" width="22" style="4" customWidth="1"/>
    <col min="4" max="4" width="20.109375" style="4" customWidth="1"/>
    <col min="5" max="5" width="17.6640625" style="4" customWidth="1"/>
    <col min="6" max="6" width="17.88671875" style="10" bestFit="1" customWidth="1"/>
    <col min="7" max="7" width="19.5546875" style="10" bestFit="1" customWidth="1"/>
    <col min="8" max="8" width="19.44140625" style="10" customWidth="1"/>
    <col min="9" max="9" width="19.5546875" style="10" bestFit="1" customWidth="1"/>
    <col min="10" max="10" width="18.6640625" style="4" customWidth="1"/>
    <col min="11" max="11" width="26.88671875" style="4" customWidth="1"/>
    <col min="12" max="12" width="20.6640625" style="4" customWidth="1"/>
    <col min="13" max="16384" width="9.109375" style="2"/>
  </cols>
  <sheetData>
    <row r="1" spans="1:16" ht="35.1" customHeight="1" thickBot="1" x14ac:dyDescent="0.3">
      <c r="A1" s="86" t="s">
        <v>338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8"/>
    </row>
    <row r="2" spans="1:16" ht="35.1" customHeight="1" x14ac:dyDescent="0.25">
      <c r="A2" s="64">
        <v>45962</v>
      </c>
      <c r="B2" s="92" t="s">
        <v>341</v>
      </c>
      <c r="C2" s="93"/>
      <c r="D2" s="93"/>
      <c r="E2" s="93"/>
      <c r="F2" s="93"/>
      <c r="G2" s="93"/>
      <c r="H2" s="93"/>
      <c r="I2" s="93"/>
      <c r="J2" s="93"/>
      <c r="K2" s="94"/>
      <c r="L2" s="65" t="s">
        <v>512</v>
      </c>
    </row>
    <row r="3" spans="1:16" ht="35.1" customHeight="1" x14ac:dyDescent="0.35">
      <c r="A3" s="50" t="s">
        <v>111</v>
      </c>
      <c r="B3" s="51" t="s">
        <v>1</v>
      </c>
      <c r="C3" s="29" t="s">
        <v>2</v>
      </c>
      <c r="D3" s="29" t="s">
        <v>3</v>
      </c>
      <c r="E3" s="29" t="s">
        <v>4</v>
      </c>
      <c r="F3" s="69" t="s">
        <v>112</v>
      </c>
      <c r="G3" s="69" t="s">
        <v>6</v>
      </c>
      <c r="H3" s="69" t="s">
        <v>7</v>
      </c>
      <c r="I3" s="71" t="s">
        <v>8</v>
      </c>
      <c r="J3" s="29" t="s">
        <v>9</v>
      </c>
      <c r="K3" s="29" t="s">
        <v>10</v>
      </c>
      <c r="L3" s="29" t="s">
        <v>11</v>
      </c>
    </row>
    <row r="4" spans="1:16" ht="35.1" customHeight="1" x14ac:dyDescent="0.4">
      <c r="A4" s="30">
        <v>1</v>
      </c>
      <c r="B4" s="31" t="s">
        <v>177</v>
      </c>
      <c r="C4" s="30" t="s">
        <v>274</v>
      </c>
      <c r="D4" s="32">
        <v>45392</v>
      </c>
      <c r="E4" s="32">
        <v>45971</v>
      </c>
      <c r="F4" s="33">
        <v>25000</v>
      </c>
      <c r="G4" s="33">
        <v>437500</v>
      </c>
      <c r="H4" s="33">
        <v>211900</v>
      </c>
      <c r="I4" s="67">
        <v>225600</v>
      </c>
      <c r="J4" s="34">
        <v>45607</v>
      </c>
      <c r="K4" s="30">
        <v>9003701260</v>
      </c>
      <c r="L4" s="30" t="s">
        <v>175</v>
      </c>
    </row>
    <row r="5" spans="1:16" ht="35.1" customHeight="1" x14ac:dyDescent="0.4">
      <c r="A5" s="30">
        <v>2</v>
      </c>
      <c r="B5" s="31" t="s">
        <v>275</v>
      </c>
      <c r="C5" s="30" t="s">
        <v>276</v>
      </c>
      <c r="D5" s="32">
        <v>45463</v>
      </c>
      <c r="E5" s="32">
        <v>46042</v>
      </c>
      <c r="F5" s="33">
        <v>4850</v>
      </c>
      <c r="G5" s="33">
        <v>77550</v>
      </c>
      <c r="H5" s="33">
        <v>42900</v>
      </c>
      <c r="I5" s="33">
        <v>34650</v>
      </c>
      <c r="J5" s="34">
        <v>45708</v>
      </c>
      <c r="K5" s="30">
        <v>7010670525</v>
      </c>
      <c r="L5" s="30" t="s">
        <v>175</v>
      </c>
    </row>
    <row r="6" spans="1:16" ht="35.1" customHeight="1" x14ac:dyDescent="0.4">
      <c r="A6" s="30">
        <v>3</v>
      </c>
      <c r="B6" s="31" t="s">
        <v>181</v>
      </c>
      <c r="C6" s="30" t="s">
        <v>277</v>
      </c>
      <c r="D6" s="32">
        <v>45392</v>
      </c>
      <c r="E6" s="32">
        <v>45971</v>
      </c>
      <c r="F6" s="33">
        <v>5000</v>
      </c>
      <c r="G6" s="33">
        <v>87500</v>
      </c>
      <c r="H6" s="33">
        <v>66000</v>
      </c>
      <c r="I6" s="33">
        <v>21500</v>
      </c>
      <c r="J6" s="34">
        <v>45887</v>
      </c>
      <c r="K6" s="30">
        <v>9344095096</v>
      </c>
      <c r="L6" s="30" t="s">
        <v>175</v>
      </c>
    </row>
    <row r="7" spans="1:16" ht="35.1" customHeight="1" x14ac:dyDescent="0.4">
      <c r="A7" s="30">
        <v>4</v>
      </c>
      <c r="B7" s="31" t="s">
        <v>182</v>
      </c>
      <c r="C7" s="30" t="s">
        <v>278</v>
      </c>
      <c r="D7" s="32">
        <v>45392</v>
      </c>
      <c r="E7" s="32">
        <v>45971</v>
      </c>
      <c r="F7" s="33">
        <v>18750</v>
      </c>
      <c r="G7" s="33">
        <v>340000</v>
      </c>
      <c r="H7" s="33">
        <v>196850</v>
      </c>
      <c r="I7" s="33">
        <v>143150</v>
      </c>
      <c r="J7" s="34">
        <v>45988</v>
      </c>
      <c r="K7" s="30">
        <v>9362100768</v>
      </c>
      <c r="L7" s="30" t="s">
        <v>175</v>
      </c>
    </row>
    <row r="8" spans="1:16" ht="35.1" customHeight="1" x14ac:dyDescent="0.4">
      <c r="A8" s="30">
        <v>5</v>
      </c>
      <c r="B8" s="31" t="s">
        <v>279</v>
      </c>
      <c r="C8" s="30" t="s">
        <v>280</v>
      </c>
      <c r="D8" s="32">
        <v>45392</v>
      </c>
      <c r="E8" s="32">
        <v>45971</v>
      </c>
      <c r="F8" s="33">
        <v>17750</v>
      </c>
      <c r="G8" s="33">
        <v>266500</v>
      </c>
      <c r="H8" s="33">
        <v>250050</v>
      </c>
      <c r="I8" s="33">
        <v>16450</v>
      </c>
      <c r="J8" s="34">
        <v>45978</v>
      </c>
      <c r="K8" s="30">
        <v>9940381378</v>
      </c>
      <c r="L8" s="30" t="s">
        <v>175</v>
      </c>
    </row>
    <row r="9" spans="1:16" ht="35.1" customHeight="1" x14ac:dyDescent="0.4">
      <c r="A9" s="30">
        <v>6</v>
      </c>
      <c r="B9" s="31" t="s">
        <v>184</v>
      </c>
      <c r="C9" s="30" t="s">
        <v>281</v>
      </c>
      <c r="D9" s="32">
        <v>45392</v>
      </c>
      <c r="E9" s="32">
        <v>45971</v>
      </c>
      <c r="F9" s="33">
        <v>7500</v>
      </c>
      <c r="G9" s="33">
        <v>136000</v>
      </c>
      <c r="H9" s="33">
        <v>77200</v>
      </c>
      <c r="I9" s="33">
        <v>58800</v>
      </c>
      <c r="J9" s="34">
        <v>45959</v>
      </c>
      <c r="K9" s="30">
        <v>9943006535</v>
      </c>
      <c r="L9" s="30" t="s">
        <v>175</v>
      </c>
    </row>
    <row r="10" spans="1:16" ht="35.1" customHeight="1" x14ac:dyDescent="0.4">
      <c r="A10" s="30">
        <v>7</v>
      </c>
      <c r="B10" s="31" t="s">
        <v>282</v>
      </c>
      <c r="C10" s="30" t="s">
        <v>283</v>
      </c>
      <c r="D10" s="32">
        <v>45422</v>
      </c>
      <c r="E10" s="32">
        <v>46001</v>
      </c>
      <c r="F10" s="33">
        <v>4950</v>
      </c>
      <c r="G10" s="33">
        <v>87500</v>
      </c>
      <c r="H10" s="33">
        <v>82600</v>
      </c>
      <c r="I10" s="33">
        <f>G10-H10</f>
        <v>4900</v>
      </c>
      <c r="J10" s="34">
        <v>45976</v>
      </c>
      <c r="K10" s="30">
        <v>6380204475</v>
      </c>
      <c r="L10" s="30" t="s">
        <v>175</v>
      </c>
    </row>
    <row r="11" spans="1:16" ht="35.1" customHeight="1" x14ac:dyDescent="0.4">
      <c r="A11" s="30">
        <v>8</v>
      </c>
      <c r="B11" s="31" t="s">
        <v>284</v>
      </c>
      <c r="C11" s="30" t="s">
        <v>285</v>
      </c>
      <c r="D11" s="32">
        <v>45422</v>
      </c>
      <c r="E11" s="32">
        <v>46001</v>
      </c>
      <c r="F11" s="33">
        <v>4950</v>
      </c>
      <c r="G11" s="33">
        <v>82500</v>
      </c>
      <c r="H11" s="33">
        <v>82500</v>
      </c>
      <c r="I11" s="25"/>
      <c r="J11" s="34">
        <v>45980</v>
      </c>
      <c r="K11" s="30">
        <v>8883366465</v>
      </c>
      <c r="L11" s="30" t="s">
        <v>175</v>
      </c>
    </row>
    <row r="12" spans="1:16" ht="35.1" customHeight="1" thickBot="1" x14ac:dyDescent="0.45">
      <c r="A12" s="30">
        <v>9</v>
      </c>
      <c r="B12" s="31" t="s">
        <v>286</v>
      </c>
      <c r="C12" s="30" t="s">
        <v>287</v>
      </c>
      <c r="D12" s="32">
        <v>45514</v>
      </c>
      <c r="E12" s="32">
        <v>46091</v>
      </c>
      <c r="F12" s="33">
        <v>17750</v>
      </c>
      <c r="G12" s="33">
        <v>266500</v>
      </c>
      <c r="H12" s="33">
        <v>254600</v>
      </c>
      <c r="I12" s="33">
        <v>11900</v>
      </c>
      <c r="J12" s="34">
        <v>45993</v>
      </c>
      <c r="K12" s="30">
        <v>9442414554</v>
      </c>
      <c r="L12" s="30" t="s">
        <v>175</v>
      </c>
      <c r="P12" s="12"/>
    </row>
    <row r="13" spans="1:16" ht="35.1" customHeight="1" x14ac:dyDescent="0.4">
      <c r="A13" s="30">
        <v>10</v>
      </c>
      <c r="B13" s="31" t="s">
        <v>288</v>
      </c>
      <c r="C13" s="30" t="s">
        <v>289</v>
      </c>
      <c r="D13" s="32">
        <v>45483</v>
      </c>
      <c r="E13" s="32">
        <v>46063</v>
      </c>
      <c r="F13" s="33">
        <v>24000</v>
      </c>
      <c r="G13" s="33">
        <v>363500</v>
      </c>
      <c r="H13" s="33">
        <v>363000</v>
      </c>
      <c r="I13" s="25">
        <v>500</v>
      </c>
      <c r="J13" s="34">
        <v>45993</v>
      </c>
      <c r="K13" s="30">
        <v>8072321982</v>
      </c>
      <c r="L13" s="30" t="s">
        <v>175</v>
      </c>
    </row>
    <row r="14" spans="1:16" ht="35.1" customHeight="1" x14ac:dyDescent="0.4">
      <c r="A14" s="30">
        <v>11</v>
      </c>
      <c r="B14" s="31" t="s">
        <v>290</v>
      </c>
      <c r="C14" s="30" t="s">
        <v>291</v>
      </c>
      <c r="D14" s="32">
        <v>45493</v>
      </c>
      <c r="E14" s="32">
        <v>46073</v>
      </c>
      <c r="F14" s="33">
        <v>24000</v>
      </c>
      <c r="G14" s="33">
        <v>363500</v>
      </c>
      <c r="H14" s="33">
        <v>363500</v>
      </c>
      <c r="I14" s="25"/>
      <c r="J14" s="34">
        <v>45989</v>
      </c>
      <c r="K14" s="30">
        <v>8778171337</v>
      </c>
      <c r="L14" s="30" t="s">
        <v>175</v>
      </c>
    </row>
    <row r="15" spans="1:16" ht="35.1" customHeight="1" x14ac:dyDescent="0.4">
      <c r="A15" s="30">
        <v>12</v>
      </c>
      <c r="B15" s="31" t="s">
        <v>292</v>
      </c>
      <c r="C15" s="30" t="s">
        <v>293</v>
      </c>
      <c r="D15" s="32">
        <v>45545</v>
      </c>
      <c r="E15" s="32">
        <v>46122</v>
      </c>
      <c r="F15" s="33">
        <v>35000</v>
      </c>
      <c r="G15" s="33">
        <v>497500</v>
      </c>
      <c r="H15" s="33">
        <v>194100</v>
      </c>
      <c r="I15" s="33">
        <v>303400</v>
      </c>
      <c r="J15" s="34">
        <v>45884</v>
      </c>
      <c r="K15" s="30">
        <v>8903224730</v>
      </c>
      <c r="L15" s="30" t="s">
        <v>175</v>
      </c>
    </row>
    <row r="16" spans="1:16" ht="35.1" customHeight="1" x14ac:dyDescent="0.4">
      <c r="A16" s="30">
        <v>13</v>
      </c>
      <c r="B16" s="31" t="s">
        <v>294</v>
      </c>
      <c r="C16" s="30" t="s">
        <v>295</v>
      </c>
      <c r="D16" s="32">
        <v>45606</v>
      </c>
      <c r="E16" s="32">
        <v>46183</v>
      </c>
      <c r="F16" s="33">
        <v>22000</v>
      </c>
      <c r="G16" s="33">
        <v>271125</v>
      </c>
      <c r="H16" s="33">
        <v>261750</v>
      </c>
      <c r="I16" s="33">
        <v>9375</v>
      </c>
      <c r="J16" s="34">
        <v>45993</v>
      </c>
      <c r="K16" s="30">
        <v>9095571777</v>
      </c>
      <c r="L16" s="30" t="s">
        <v>17</v>
      </c>
    </row>
    <row r="17" spans="1:12" ht="35.1" customHeight="1" x14ac:dyDescent="0.4">
      <c r="A17" s="30">
        <v>14</v>
      </c>
      <c r="B17" s="31" t="s">
        <v>286</v>
      </c>
      <c r="C17" s="30" t="s">
        <v>296</v>
      </c>
      <c r="D17" s="32">
        <v>45682</v>
      </c>
      <c r="E17" s="32">
        <v>46259</v>
      </c>
      <c r="F17" s="33">
        <v>16250</v>
      </c>
      <c r="G17" s="33">
        <v>180250</v>
      </c>
      <c r="H17" s="33">
        <v>132800</v>
      </c>
      <c r="I17" s="33">
        <v>47450</v>
      </c>
      <c r="J17" s="34">
        <v>45993</v>
      </c>
      <c r="K17" s="30">
        <v>9442414554</v>
      </c>
      <c r="L17" s="30" t="s">
        <v>175</v>
      </c>
    </row>
    <row r="18" spans="1:12" ht="35.1" customHeight="1" x14ac:dyDescent="0.4">
      <c r="A18" s="30">
        <v>15</v>
      </c>
      <c r="B18" s="31" t="s">
        <v>297</v>
      </c>
      <c r="C18" s="30" t="s">
        <v>298</v>
      </c>
      <c r="D18" s="32">
        <v>45463</v>
      </c>
      <c r="E18" s="32">
        <v>46042</v>
      </c>
      <c r="F18" s="33">
        <v>14550</v>
      </c>
      <c r="G18" s="33">
        <v>232650</v>
      </c>
      <c r="H18" s="33">
        <v>221000</v>
      </c>
      <c r="I18" s="33">
        <v>11650</v>
      </c>
      <c r="J18" s="34">
        <v>45993</v>
      </c>
      <c r="K18" s="30">
        <v>9597373693</v>
      </c>
      <c r="L18" s="30" t="s">
        <v>17</v>
      </c>
    </row>
    <row r="19" spans="1:12" ht="35.1" customHeight="1" x14ac:dyDescent="0.4">
      <c r="A19" s="30">
        <v>16</v>
      </c>
      <c r="B19" s="31" t="s">
        <v>220</v>
      </c>
      <c r="C19" s="30" t="s">
        <v>299</v>
      </c>
      <c r="D19" s="32">
        <v>45651</v>
      </c>
      <c r="E19" s="32">
        <v>46228</v>
      </c>
      <c r="F19" s="33">
        <v>12900</v>
      </c>
      <c r="G19" s="33">
        <v>149475</v>
      </c>
      <c r="H19" s="33">
        <v>149475</v>
      </c>
      <c r="I19" s="25"/>
      <c r="J19" s="34">
        <v>45993</v>
      </c>
      <c r="K19" s="30">
        <v>9498118080</v>
      </c>
      <c r="L19" s="30" t="s">
        <v>36</v>
      </c>
    </row>
    <row r="20" spans="1:12" ht="35.1" customHeight="1" x14ac:dyDescent="0.4">
      <c r="A20" s="30">
        <v>17</v>
      </c>
      <c r="B20" s="31" t="s">
        <v>210</v>
      </c>
      <c r="C20" s="30" t="s">
        <v>300</v>
      </c>
      <c r="D20" s="32">
        <v>45651</v>
      </c>
      <c r="E20" s="32">
        <v>46228</v>
      </c>
      <c r="F20" s="33">
        <v>4300</v>
      </c>
      <c r="G20" s="33">
        <v>49825</v>
      </c>
      <c r="H20" s="33">
        <v>49825</v>
      </c>
      <c r="I20" s="25"/>
      <c r="J20" s="34">
        <v>45990</v>
      </c>
      <c r="K20" s="30">
        <v>8883825328</v>
      </c>
      <c r="L20" s="30" t="s">
        <v>36</v>
      </c>
    </row>
    <row r="21" spans="1:12" ht="35.1" customHeight="1" x14ac:dyDescent="0.4">
      <c r="A21" s="30">
        <v>18</v>
      </c>
      <c r="B21" s="31" t="s">
        <v>301</v>
      </c>
      <c r="C21" s="30" t="s">
        <v>302</v>
      </c>
      <c r="D21" s="32">
        <v>45463</v>
      </c>
      <c r="E21" s="32">
        <v>46042</v>
      </c>
      <c r="F21" s="33">
        <v>4850</v>
      </c>
      <c r="G21" s="33">
        <v>77550</v>
      </c>
      <c r="H21" s="33">
        <v>68100</v>
      </c>
      <c r="I21" s="33">
        <v>9450</v>
      </c>
      <c r="J21" s="34">
        <v>45993</v>
      </c>
      <c r="K21" s="30">
        <v>9597733300</v>
      </c>
      <c r="L21" s="30" t="s">
        <v>17</v>
      </c>
    </row>
    <row r="22" spans="1:12" ht="35.1" customHeight="1" x14ac:dyDescent="0.4">
      <c r="A22" s="30">
        <v>19</v>
      </c>
      <c r="B22" s="31" t="s">
        <v>236</v>
      </c>
      <c r="C22" s="30" t="s">
        <v>303</v>
      </c>
      <c r="D22" s="32">
        <v>45545</v>
      </c>
      <c r="E22" s="32">
        <v>46122</v>
      </c>
      <c r="F22" s="33">
        <v>45500</v>
      </c>
      <c r="G22" s="33">
        <v>632500</v>
      </c>
      <c r="H22" s="33">
        <v>618100</v>
      </c>
      <c r="I22" s="33">
        <v>14400</v>
      </c>
      <c r="J22" s="34">
        <v>45993</v>
      </c>
      <c r="K22" s="30">
        <v>9940381378</v>
      </c>
      <c r="L22" s="30" t="s">
        <v>175</v>
      </c>
    </row>
    <row r="23" spans="1:12" ht="35.1" customHeight="1" thickBot="1" x14ac:dyDescent="0.3">
      <c r="A23" s="95"/>
      <c r="B23" s="99"/>
      <c r="C23" s="95" t="s">
        <v>41</v>
      </c>
      <c r="D23" s="96"/>
      <c r="E23" s="99"/>
      <c r="F23" s="13">
        <f>SUM(F4:F22)</f>
        <v>309850</v>
      </c>
      <c r="G23" s="66">
        <f>SUM(G4:G22)</f>
        <v>4599425</v>
      </c>
      <c r="H23" s="13">
        <f>SUM(H4:H22)</f>
        <v>3686250</v>
      </c>
      <c r="I23" s="66">
        <f>SUM(I4:I22)</f>
        <v>913175</v>
      </c>
      <c r="J23" s="95"/>
      <c r="K23" s="96"/>
      <c r="L23" s="99"/>
    </row>
    <row r="25" spans="1:12" ht="39.9" customHeight="1" thickBot="1" x14ac:dyDescent="0.3">
      <c r="A25" s="2"/>
    </row>
    <row r="26" spans="1:12" ht="39.9" customHeight="1" thickBot="1" x14ac:dyDescent="0.3">
      <c r="A26" s="100" t="s">
        <v>339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39.9" customHeight="1" thickBot="1" x14ac:dyDescent="0.3">
      <c r="A27" s="15">
        <v>45962</v>
      </c>
      <c r="B27" s="89" t="s">
        <v>340</v>
      </c>
      <c r="C27" s="90"/>
      <c r="D27" s="90"/>
      <c r="E27" s="90"/>
      <c r="F27" s="90"/>
      <c r="G27" s="90"/>
      <c r="H27" s="90"/>
      <c r="I27" s="90"/>
      <c r="J27" s="90"/>
      <c r="K27" s="91"/>
      <c r="L27" s="16" t="s">
        <v>512</v>
      </c>
    </row>
    <row r="28" spans="1:12" ht="39.9" customHeight="1" x14ac:dyDescent="0.25">
      <c r="A28" s="14" t="s">
        <v>111</v>
      </c>
      <c r="B28" s="68" t="s">
        <v>1</v>
      </c>
      <c r="C28" s="20" t="s">
        <v>2</v>
      </c>
      <c r="D28" s="20" t="s">
        <v>3</v>
      </c>
      <c r="E28" s="20" t="s">
        <v>4</v>
      </c>
      <c r="F28" s="70" t="s">
        <v>112</v>
      </c>
      <c r="G28" s="70" t="s">
        <v>6</v>
      </c>
      <c r="H28" s="70" t="s">
        <v>7</v>
      </c>
      <c r="I28" s="72" t="s">
        <v>8</v>
      </c>
      <c r="J28" s="20" t="s">
        <v>9</v>
      </c>
      <c r="K28" s="20" t="s">
        <v>10</v>
      </c>
      <c r="L28" s="20" t="s">
        <v>11</v>
      </c>
    </row>
    <row r="29" spans="1:12" ht="39.9" customHeight="1" x14ac:dyDescent="0.4">
      <c r="A29" s="5">
        <v>1</v>
      </c>
      <c r="B29" s="6" t="s">
        <v>304</v>
      </c>
      <c r="C29" s="7" t="s">
        <v>305</v>
      </c>
      <c r="D29" s="8">
        <v>45713</v>
      </c>
      <c r="E29" s="8">
        <v>46290</v>
      </c>
      <c r="F29" s="33">
        <v>8300</v>
      </c>
      <c r="G29" s="33">
        <v>82600</v>
      </c>
      <c r="H29" s="33">
        <v>82600</v>
      </c>
      <c r="I29" s="25"/>
      <c r="J29" s="21">
        <v>45969</v>
      </c>
      <c r="K29" s="7">
        <v>9500520653</v>
      </c>
      <c r="L29" s="7" t="s">
        <v>17</v>
      </c>
    </row>
    <row r="30" spans="1:12" ht="39.9" customHeight="1" x14ac:dyDescent="0.4">
      <c r="A30" s="5">
        <v>2</v>
      </c>
      <c r="B30" s="6" t="s">
        <v>306</v>
      </c>
      <c r="C30" s="7" t="s">
        <v>307</v>
      </c>
      <c r="D30" s="8">
        <v>45713</v>
      </c>
      <c r="E30" s="8">
        <v>46290</v>
      </c>
      <c r="F30" s="33">
        <v>41500</v>
      </c>
      <c r="G30" s="33">
        <v>413000</v>
      </c>
      <c r="H30" s="33">
        <v>408000</v>
      </c>
      <c r="I30" s="33">
        <v>5000</v>
      </c>
      <c r="J30" s="21">
        <v>45993</v>
      </c>
      <c r="K30" s="7">
        <v>8778171337</v>
      </c>
      <c r="L30" s="7" t="s">
        <v>175</v>
      </c>
    </row>
    <row r="31" spans="1:12" ht="39.9" customHeight="1" x14ac:dyDescent="0.4">
      <c r="A31" s="5">
        <v>3</v>
      </c>
      <c r="B31" s="6" t="s">
        <v>306</v>
      </c>
      <c r="C31" s="7" t="s">
        <v>308</v>
      </c>
      <c r="D31" s="8">
        <v>45713</v>
      </c>
      <c r="E31" s="8">
        <v>46290</v>
      </c>
      <c r="F31" s="33">
        <v>20750</v>
      </c>
      <c r="G31" s="33">
        <v>206500</v>
      </c>
      <c r="H31" s="33">
        <v>205700</v>
      </c>
      <c r="I31" s="25">
        <v>800</v>
      </c>
      <c r="J31" s="21">
        <v>45993</v>
      </c>
      <c r="K31" s="7">
        <v>8778171337</v>
      </c>
      <c r="L31" s="7" t="s">
        <v>175</v>
      </c>
    </row>
    <row r="32" spans="1:12" ht="39.9" customHeight="1" x14ac:dyDescent="0.4">
      <c r="A32" s="5">
        <v>4</v>
      </c>
      <c r="B32" s="6" t="s">
        <v>309</v>
      </c>
      <c r="C32" s="7" t="s">
        <v>310</v>
      </c>
      <c r="D32" s="8">
        <v>45713</v>
      </c>
      <c r="E32" s="8">
        <v>46290</v>
      </c>
      <c r="F32" s="33">
        <v>12450</v>
      </c>
      <c r="G32" s="33">
        <v>123900</v>
      </c>
      <c r="H32" s="33">
        <v>82500</v>
      </c>
      <c r="I32" s="33">
        <v>41400</v>
      </c>
      <c r="J32" s="21">
        <v>45993</v>
      </c>
      <c r="K32" s="7">
        <v>9944625900</v>
      </c>
      <c r="L32" s="7" t="s">
        <v>73</v>
      </c>
    </row>
    <row r="33" spans="1:12" ht="39.9" customHeight="1" x14ac:dyDescent="0.4">
      <c r="A33" s="5">
        <v>5</v>
      </c>
      <c r="B33" s="6" t="s">
        <v>230</v>
      </c>
      <c r="C33" s="7" t="s">
        <v>311</v>
      </c>
      <c r="D33" s="8">
        <v>45772</v>
      </c>
      <c r="E33" s="8">
        <v>46351</v>
      </c>
      <c r="F33" s="33">
        <v>4050</v>
      </c>
      <c r="G33" s="33">
        <v>33050</v>
      </c>
      <c r="H33" s="33">
        <v>28100</v>
      </c>
      <c r="I33" s="33">
        <v>4950</v>
      </c>
      <c r="J33" s="21">
        <v>45993</v>
      </c>
      <c r="K33" s="7">
        <v>8489393639</v>
      </c>
      <c r="L33" s="7" t="s">
        <v>17</v>
      </c>
    </row>
    <row r="34" spans="1:12" ht="39.9" customHeight="1" x14ac:dyDescent="0.4">
      <c r="A34" s="5">
        <v>6</v>
      </c>
      <c r="B34" s="6" t="s">
        <v>312</v>
      </c>
      <c r="C34" s="7" t="s">
        <v>313</v>
      </c>
      <c r="D34" s="8">
        <v>45741</v>
      </c>
      <c r="E34" s="8">
        <v>46320</v>
      </c>
      <c r="F34" s="33">
        <v>96000</v>
      </c>
      <c r="G34" s="33">
        <v>780000</v>
      </c>
      <c r="H34" s="33">
        <v>683600</v>
      </c>
      <c r="I34" s="33">
        <v>96400</v>
      </c>
      <c r="J34" s="21">
        <v>45992</v>
      </c>
      <c r="K34" s="7">
        <v>9566341761</v>
      </c>
      <c r="L34" s="7" t="s">
        <v>17</v>
      </c>
    </row>
    <row r="35" spans="1:12" ht="39.9" customHeight="1" x14ac:dyDescent="0.4">
      <c r="A35" s="5">
        <v>7</v>
      </c>
      <c r="B35" s="6" t="s">
        <v>314</v>
      </c>
      <c r="C35" s="7" t="s">
        <v>315</v>
      </c>
      <c r="D35" s="8">
        <v>45713</v>
      </c>
      <c r="E35" s="8">
        <v>46290</v>
      </c>
      <c r="F35" s="33">
        <v>3200</v>
      </c>
      <c r="G35" s="33">
        <v>32800</v>
      </c>
      <c r="H35" s="33">
        <v>31650</v>
      </c>
      <c r="I35" s="33">
        <v>1150</v>
      </c>
      <c r="J35" s="21">
        <v>45993</v>
      </c>
      <c r="K35" s="7">
        <v>7358826911</v>
      </c>
      <c r="L35" s="7" t="s">
        <v>175</v>
      </c>
    </row>
    <row r="36" spans="1:12" ht="39.9" customHeight="1" x14ac:dyDescent="0.4">
      <c r="A36" s="5">
        <v>8</v>
      </c>
      <c r="B36" s="6" t="s">
        <v>316</v>
      </c>
      <c r="C36" s="7" t="s">
        <v>317</v>
      </c>
      <c r="D36" s="8">
        <v>45713</v>
      </c>
      <c r="E36" s="8">
        <v>46290</v>
      </c>
      <c r="F36" s="33">
        <v>8300</v>
      </c>
      <c r="G36" s="33">
        <v>82600</v>
      </c>
      <c r="H36" s="33">
        <v>81600</v>
      </c>
      <c r="I36" s="33">
        <v>1000</v>
      </c>
      <c r="J36" s="21">
        <v>45993</v>
      </c>
      <c r="K36" s="7">
        <v>9787105543</v>
      </c>
      <c r="L36" s="7" t="s">
        <v>73</v>
      </c>
    </row>
    <row r="37" spans="1:12" ht="39.9" customHeight="1" thickBot="1" x14ac:dyDescent="0.45">
      <c r="A37" s="5">
        <v>9</v>
      </c>
      <c r="B37" s="6" t="s">
        <v>318</v>
      </c>
      <c r="C37" s="7" t="s">
        <v>319</v>
      </c>
      <c r="D37" s="8">
        <v>45741</v>
      </c>
      <c r="E37" s="8">
        <v>46320</v>
      </c>
      <c r="F37" s="33">
        <v>8200</v>
      </c>
      <c r="G37" s="33">
        <v>74300</v>
      </c>
      <c r="H37" s="33">
        <v>74300</v>
      </c>
      <c r="I37" s="25"/>
      <c r="J37" s="21">
        <v>45993</v>
      </c>
      <c r="K37" s="7">
        <v>8608884554</v>
      </c>
      <c r="L37" s="7" t="s">
        <v>73</v>
      </c>
    </row>
    <row r="38" spans="1:12" ht="39.9" customHeight="1" thickBot="1" x14ac:dyDescent="0.3">
      <c r="A38" s="98"/>
      <c r="B38" s="99"/>
      <c r="C38" s="95" t="s">
        <v>41</v>
      </c>
      <c r="D38" s="96"/>
      <c r="E38" s="97"/>
      <c r="F38" s="13">
        <f>SUM(F29:F37)</f>
        <v>202750</v>
      </c>
      <c r="G38" s="66">
        <f>SUM(G29:G37)</f>
        <v>1828750</v>
      </c>
      <c r="H38" s="13">
        <f>SUM(H29:H37)</f>
        <v>1678050</v>
      </c>
      <c r="I38" s="66">
        <f>SUM(I29:I37)</f>
        <v>150700</v>
      </c>
      <c r="J38" s="95"/>
      <c r="K38" s="96"/>
      <c r="L38" s="99"/>
    </row>
    <row r="39" spans="1:12" ht="39.9" customHeight="1" x14ac:dyDescent="0.25"/>
  </sheetData>
  <mergeCells count="10">
    <mergeCell ref="A1:L1"/>
    <mergeCell ref="B27:K27"/>
    <mergeCell ref="B2:K2"/>
    <mergeCell ref="C38:E38"/>
    <mergeCell ref="A38:B38"/>
    <mergeCell ref="J38:L38"/>
    <mergeCell ref="A23:B23"/>
    <mergeCell ref="J23:L23"/>
    <mergeCell ref="C23:E23"/>
    <mergeCell ref="A26:L26"/>
  </mergeCells>
  <pageMargins left="0.45" right="0.31496062992125984" top="0.43307086614173229" bottom="0.59055118110236227" header="0.31496062992125984" footer="0.31496062992125984"/>
  <pageSetup paperSize="9" scale="54" orientation="landscape" horizontalDpi="4294967293" verticalDpi="0" r:id="rId1"/>
  <colBreaks count="2" manualBreakCount="2">
    <brk id="12" max="31" man="1"/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PAID MONTHLY</vt:lpstr>
      <vt:lpstr>NON PAID MONTHLY</vt:lpstr>
      <vt:lpstr>Sheet2</vt:lpstr>
      <vt:lpstr>NON PAID DAILY</vt:lpstr>
      <vt:lpstr>PAID DAILY</vt:lpstr>
      <vt:lpstr>'NON PAID DAILY'!Print_Area</vt:lpstr>
      <vt:lpstr>'NON PAID MONTHLY'!Print_Area</vt:lpstr>
      <vt:lpstr>'PAID DAILY'!Print_Area</vt:lpstr>
      <vt:lpstr>'PAID MONTHLY'!Print_Area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Audit</dc:creator>
  <cp:lastModifiedBy>VIKRAM R</cp:lastModifiedBy>
  <cp:lastPrinted>2025-11-19T06:41:50Z</cp:lastPrinted>
  <dcterms:created xsi:type="dcterms:W3CDTF">2025-10-21T10:59:45Z</dcterms:created>
  <dcterms:modified xsi:type="dcterms:W3CDTF">2025-12-17T05:11:18Z</dcterms:modified>
</cp:coreProperties>
</file>